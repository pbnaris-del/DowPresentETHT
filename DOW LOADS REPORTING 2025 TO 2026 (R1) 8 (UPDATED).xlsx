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is_Eway\Documents\WorkSpace\Dow Chemical\"/>
    </mc:Choice>
  </mc:AlternateContent>
  <xr:revisionPtr revIDLastSave="0" documentId="8_{9E8BFE06-48A6-4325-833D-9FA4820E4822}" xr6:coauthVersionLast="47" xr6:coauthVersionMax="47" xr10:uidLastSave="{00000000-0000-0000-0000-000000000000}"/>
  <bookViews>
    <workbookView xWindow="-120" yWindow="-120" windowWidth="29040" windowHeight="15720" activeTab="2" xr2:uid="{D6A2ADA4-33F7-4373-8561-B45EA905EF32}"/>
  </bookViews>
  <sheets>
    <sheet name="Sheet1" sheetId="3" r:id="rId1"/>
    <sheet name="Awarded " sheetId="1" r:id="rId2"/>
    <sheet name="Spot" sheetId="2" r:id="rId3"/>
  </sheets>
  <externalReferences>
    <externalReference r:id="rId4"/>
  </externalReferences>
  <definedNames>
    <definedName name="_xlnm._FilterDatabase" localSheetId="1" hidden="1">'Awarded '!$A$6:$AT$57</definedName>
    <definedName name="_xlnm._FilterDatabase" localSheetId="2" hidden="1">Spot!$A$12:$AW$38</definedName>
    <definedName name="MISSING">[1]Validation!$A$20:$F$24</definedName>
  </definedNames>
  <calcPr calcId="191029"/>
  <pivotCaches>
    <pivotCache cacheId="1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" i="1" l="1"/>
  <c r="W26" i="1"/>
  <c r="W24" i="1"/>
  <c r="W23" i="1"/>
  <c r="W22" i="1"/>
  <c r="W20" i="1"/>
  <c r="W21" i="1"/>
  <c r="W19" i="1"/>
  <c r="W27" i="1" l="1"/>
  <c r="AT9" i="1"/>
  <c r="AT10" i="1"/>
  <c r="AT11" i="1"/>
  <c r="AT12" i="1"/>
  <c r="AT13" i="1"/>
  <c r="AT14" i="1"/>
  <c r="AT15" i="1"/>
  <c r="AT16" i="1"/>
  <c r="AT17" i="1"/>
  <c r="AT18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8" i="1"/>
  <c r="W9" i="1"/>
  <c r="W10" i="1"/>
  <c r="W11" i="1"/>
  <c r="W12" i="1"/>
  <c r="W13" i="1"/>
  <c r="W14" i="1"/>
  <c r="W15" i="1"/>
  <c r="W16" i="1"/>
  <c r="W17" i="1"/>
  <c r="W18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5" i="1"/>
  <c r="W46" i="1"/>
  <c r="W8" i="1"/>
  <c r="W57" i="1" l="1"/>
  <c r="AT47" i="1"/>
  <c r="AT48" i="1" s="1"/>
  <c r="AT49" i="1" l="1"/>
  <c r="AT50" i="1" s="1"/>
  <c r="AT51" i="1" l="1"/>
  <c r="AT52" i="1" l="1"/>
  <c r="AT53" i="1" l="1"/>
  <c r="AT54" i="1" s="1"/>
  <c r="AT55" i="1" s="1"/>
  <c r="AT56" i="1" s="1"/>
  <c r="AT5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 Sourcing Optimization 32.0.0</author>
  </authors>
  <commentList>
    <comment ref="A6" authorId="0" shapeId="0" xr:uid="{82434E00-5895-45F4-B077-977A595F7D2B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 Sourcing Optimization 32.0.0</author>
  </authors>
  <commentList>
    <comment ref="A3" authorId="0" shapeId="0" xr:uid="{CFBECD03-C1C0-4B01-811C-03AB836B1D9E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  <comment ref="A12" authorId="0" shapeId="0" xr:uid="{4EB55312-D687-4778-B0E5-3511AF7E58A7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</commentList>
</comments>
</file>

<file path=xl/sharedStrings.xml><?xml version="1.0" encoding="utf-8"?>
<sst xmlns="http://schemas.openxmlformats.org/spreadsheetml/2006/main" count="1501" uniqueCount="228">
  <si>
    <t>Item Name</t>
  </si>
  <si>
    <t>Supplying Region</t>
  </si>
  <si>
    <t>Plant Location</t>
  </si>
  <si>
    <t>Shipping Country</t>
  </si>
  <si>
    <t>Shipping Port Name</t>
  </si>
  <si>
    <t>Ship To Region</t>
  </si>
  <si>
    <t>Destination Country</t>
  </si>
  <si>
    <t>Destination Port Name</t>
  </si>
  <si>
    <t>Destination City</t>
  </si>
  <si>
    <t>Perf Center</t>
  </si>
  <si>
    <t>Movement Type</t>
  </si>
  <si>
    <t>Equipment Type</t>
  </si>
  <si>
    <t>Required Free Detention Days at Destination</t>
  </si>
  <si>
    <t>Prep Cost Region</t>
  </si>
  <si>
    <t>12-Months volume forecast - Number of Isotanks</t>
  </si>
  <si>
    <t>Sea Freight Port to Port including fuel</t>
  </si>
  <si>
    <t>On Carriage</t>
  </si>
  <si>
    <t>Equipment Prep at Origin</t>
  </si>
  <si>
    <t>Cleaning, repo, misc. cost at destination</t>
  </si>
  <si>
    <t>All-in Rate</t>
  </si>
  <si>
    <t>Bid Completion</t>
  </si>
  <si>
    <t>Awarded Volume Allocation%</t>
  </si>
  <si>
    <t>CO0185</t>
  </si>
  <si>
    <t>APAC</t>
  </si>
  <si>
    <t>BUSAN</t>
  </si>
  <si>
    <t>SOUTH KOREA</t>
  </si>
  <si>
    <t>CHINA</t>
  </si>
  <si>
    <t>Nanjing</t>
  </si>
  <si>
    <t>SADARA ETHYLENEAMINES</t>
  </si>
  <si>
    <t>PORT TO PORT</t>
  </si>
  <si>
    <t>ISO Tank - Standard</t>
  </si>
  <si>
    <t>15</t>
  </si>
  <si>
    <t>CO0186</t>
  </si>
  <si>
    <t>NANSHA</t>
  </si>
  <si>
    <t>OXO ACIDS</t>
  </si>
  <si>
    <t>CO0187</t>
  </si>
  <si>
    <t>Complete</t>
  </si>
  <si>
    <t>CO0204</t>
  </si>
  <si>
    <t>JAPAN</t>
  </si>
  <si>
    <t>Nagoya</t>
  </si>
  <si>
    <t>SADARA FLEXIBLES MOLDED</t>
  </si>
  <si>
    <t>CO0209</t>
  </si>
  <si>
    <t>Yokohama</t>
  </si>
  <si>
    <t>PROPIONIC ESTERS</t>
  </si>
  <si>
    <t>CO0210</t>
  </si>
  <si>
    <t>SADARA ETHANOLAMINES</t>
  </si>
  <si>
    <t>CO0221</t>
  </si>
  <si>
    <t>PHILIPPINES</t>
  </si>
  <si>
    <t>MANILA NORTH</t>
  </si>
  <si>
    <t>CO0226</t>
  </si>
  <si>
    <t>TAIWAN</t>
  </si>
  <si>
    <t>Kaohsiung</t>
  </si>
  <si>
    <t>2-ETHYLHEXYL ACRYLATE</t>
  </si>
  <si>
    <t>CO0236</t>
  </si>
  <si>
    <t>VIETNAM</t>
  </si>
  <si>
    <t>HO CHI MINH, CAT LAI</t>
  </si>
  <si>
    <t>SADARA BUTYL GLYCOL ETHERS</t>
  </si>
  <si>
    <t>CO0238</t>
  </si>
  <si>
    <t>EMEAI</t>
  </si>
  <si>
    <t>UNITED ARAB EMIRATES</t>
  </si>
  <si>
    <t>Jebel Ali</t>
  </si>
  <si>
    <t>HIGH TEMP FLUIDS</t>
  </si>
  <si>
    <t>CO0252</t>
  </si>
  <si>
    <t>ULSAN</t>
  </si>
  <si>
    <t>HAIPHONG</t>
  </si>
  <si>
    <t>CO0294</t>
  </si>
  <si>
    <t>LAEM CHABANG</t>
  </si>
  <si>
    <t>THAILAND</t>
  </si>
  <si>
    <t>AUSTRALIA</t>
  </si>
  <si>
    <t>Adelaide</t>
  </si>
  <si>
    <t>FLEXIBLES SLAB</t>
  </si>
  <si>
    <t>CO0296</t>
  </si>
  <si>
    <t>Brisbane</t>
  </si>
  <si>
    <t>CO0299</t>
  </si>
  <si>
    <t>Melbourne</t>
  </si>
  <si>
    <t>CO0302</t>
  </si>
  <si>
    <t>Sydney</t>
  </si>
  <si>
    <t>CO0339</t>
  </si>
  <si>
    <t>INDONESIA</t>
  </si>
  <si>
    <t>Jakarta</t>
  </si>
  <si>
    <t>CO0349</t>
  </si>
  <si>
    <t>MALAYSIA</t>
  </si>
  <si>
    <t>PASIR GUDANG</t>
  </si>
  <si>
    <t>AA ARCHITECTURAL</t>
  </si>
  <si>
    <t>CO0357</t>
  </si>
  <si>
    <t>NEW ZEALAND</t>
  </si>
  <si>
    <t>AUCKLAND</t>
  </si>
  <si>
    <t>CO0358</t>
  </si>
  <si>
    <t>WELLINGTON</t>
  </si>
  <si>
    <t>PGI</t>
  </si>
  <si>
    <t>CO0386</t>
  </si>
  <si>
    <t>CO0388</t>
  </si>
  <si>
    <t>CO0400</t>
  </si>
  <si>
    <t>INDIA</t>
  </si>
  <si>
    <t>Nhava Sheva</t>
  </si>
  <si>
    <t>CASE-POLYOLS</t>
  </si>
  <si>
    <t>CO0401</t>
  </si>
  <si>
    <t>DOMESTIC APPLIANCE</t>
  </si>
  <si>
    <t>CO0403</t>
  </si>
  <si>
    <t>CO0405</t>
  </si>
  <si>
    <t>RIGIDS</t>
  </si>
  <si>
    <t>CO0406</t>
  </si>
  <si>
    <t>PIPAVAV</t>
  </si>
  <si>
    <t>CO0407</t>
  </si>
  <si>
    <t>CO1063</t>
  </si>
  <si>
    <t>SADARA</t>
  </si>
  <si>
    <t>JUBAIL</t>
  </si>
  <si>
    <t>SAUDI ARABIA</t>
  </si>
  <si>
    <t>Dongguan</t>
  </si>
  <si>
    <t>CO1064</t>
  </si>
  <si>
    <t>SADARA TPG</t>
  </si>
  <si>
    <t>CO1065</t>
  </si>
  <si>
    <t>DONGGUAN, SHATIAN</t>
  </si>
  <si>
    <t>CO1066</t>
  </si>
  <si>
    <t>Eway Actual TEUs</t>
  </si>
  <si>
    <t>Total</t>
  </si>
  <si>
    <t>Jul 25</t>
  </si>
  <si>
    <t>Aug 25</t>
  </si>
  <si>
    <t>Sep 25</t>
  </si>
  <si>
    <t>Oct 25</t>
  </si>
  <si>
    <t>Nov 25</t>
  </si>
  <si>
    <t>Jan 26</t>
  </si>
  <si>
    <t>Awarded Lanes to E-Way Group</t>
  </si>
  <si>
    <t>1st July 2025 to 30 June 2026</t>
  </si>
  <si>
    <t>DOW CHEMICAL ISOTANK 2025-2026</t>
  </si>
  <si>
    <t>SPOT ORDERS/VOLUMES AWARD FROM DOW CHEMICAL</t>
  </si>
  <si>
    <t>Supplying Plant Name</t>
  </si>
  <si>
    <t>Business Group Name</t>
  </si>
  <si>
    <t>Value Center Name</t>
  </si>
  <si>
    <t>Tank Detention Charge after required free time (USD/day)</t>
  </si>
  <si>
    <t>Loading Requirements/Special Needs</t>
  </si>
  <si>
    <t>Pre Carriage</t>
  </si>
  <si>
    <t xml:space="preserve">
Is auctioned?</t>
  </si>
  <si>
    <t>NA</t>
  </si>
  <si>
    <t>Rayong</t>
  </si>
  <si>
    <t>Maptaphut DMC Polyol</t>
  </si>
  <si>
    <t>POLYURETHANES &amp; CONSTRUCTION CHEMICALS</t>
  </si>
  <si>
    <t>COMMODITY POLYOLS</t>
  </si>
  <si>
    <t>(ABOVE IS A SAMPLE ON HOW TO FILL IN THE INFORMATION BELOW)</t>
  </si>
  <si>
    <t>Dec 25</t>
  </si>
  <si>
    <t>Feb 26</t>
  </si>
  <si>
    <t>Mar 26</t>
  </si>
  <si>
    <t>Apr 26</t>
  </si>
  <si>
    <t>May 26</t>
  </si>
  <si>
    <t>Jun 26</t>
  </si>
  <si>
    <t>APA014</t>
  </si>
  <si>
    <t>ICD DADRI VIA NHAVA SHEVA</t>
  </si>
  <si>
    <t>HAZ MAT FEE TRUCK</t>
  </si>
  <si>
    <t>CO0189</t>
  </si>
  <si>
    <t>Ningbo</t>
  </si>
  <si>
    <t>CO1118</t>
  </si>
  <si>
    <t>Shanghai</t>
  </si>
  <si>
    <t>CO1121</t>
  </si>
  <si>
    <t>ZHUHAI, GAOLAN</t>
  </si>
  <si>
    <t>CO0221-1</t>
  </si>
  <si>
    <t>ETHANOLAMINES</t>
  </si>
  <si>
    <t>CO0196</t>
  </si>
  <si>
    <t>Zhangjiagang</t>
  </si>
  <si>
    <t>APA001</t>
  </si>
  <si>
    <t>Fremantle</t>
  </si>
  <si>
    <t>UCARSOLS</t>
  </si>
  <si>
    <t>APA002</t>
  </si>
  <si>
    <t>APA003</t>
  </si>
  <si>
    <t>Darwin</t>
  </si>
  <si>
    <t>HIGHER GLYCOLS</t>
  </si>
  <si>
    <t>APA004</t>
  </si>
  <si>
    <t>Perth</t>
  </si>
  <si>
    <t xml:space="preserve">Supplementary </t>
  </si>
  <si>
    <t xml:space="preserve">Additional </t>
  </si>
  <si>
    <t>KOLKATA</t>
  </si>
  <si>
    <t>HOCHIMINH</t>
  </si>
  <si>
    <t>KATUPALLI</t>
  </si>
  <si>
    <t>PO/PG</t>
  </si>
  <si>
    <t>SHANTIAN</t>
  </si>
  <si>
    <t>ZHANGJIAGANG</t>
  </si>
  <si>
    <t>CASE POLYOL</t>
  </si>
  <si>
    <t>SOUTH AFRICA</t>
  </si>
  <si>
    <t>DURBAN</t>
  </si>
  <si>
    <t>MANILA</t>
  </si>
  <si>
    <t>Visakhapatnam</t>
  </si>
  <si>
    <t>JAKARTA</t>
  </si>
  <si>
    <t>Column Labels</t>
  </si>
  <si>
    <t>(blank)</t>
  </si>
  <si>
    <t>Grand Total</t>
  </si>
  <si>
    <t>Row Labels</t>
  </si>
  <si>
    <t>Sum of Total</t>
  </si>
  <si>
    <t>1 Total</t>
  </si>
  <si>
    <t>(blank) Total</t>
  </si>
  <si>
    <t>2 Total</t>
  </si>
  <si>
    <t>3 Total</t>
  </si>
  <si>
    <t>4 Total</t>
  </si>
  <si>
    <t>7 Total</t>
  </si>
  <si>
    <t>10 Total</t>
  </si>
  <si>
    <t>6 Total</t>
  </si>
  <si>
    <t>8 Total</t>
  </si>
  <si>
    <t>26 Total</t>
  </si>
  <si>
    <t>5 Total</t>
  </si>
  <si>
    <t>9 Total</t>
  </si>
  <si>
    <t>11 Total</t>
  </si>
  <si>
    <t>14 Total</t>
  </si>
  <si>
    <t>17 Total</t>
  </si>
  <si>
    <t>12 Total</t>
  </si>
  <si>
    <t>18 Total</t>
  </si>
  <si>
    <t>24 Total</t>
  </si>
  <si>
    <t>21 Total</t>
  </si>
  <si>
    <t>29 Total</t>
  </si>
  <si>
    <t>53 Total</t>
  </si>
  <si>
    <t>45 Total</t>
  </si>
  <si>
    <t>25 Total</t>
  </si>
  <si>
    <t>34 Total</t>
  </si>
  <si>
    <t>16 Total</t>
  </si>
  <si>
    <t>30 Total</t>
  </si>
  <si>
    <t>20 Total</t>
  </si>
  <si>
    <t>C1889</t>
  </si>
  <si>
    <t>C2149</t>
  </si>
  <si>
    <t>C2150</t>
  </si>
  <si>
    <t>C2152</t>
  </si>
  <si>
    <t>C2176</t>
  </si>
  <si>
    <t>C2191</t>
  </si>
  <si>
    <t>C2194</t>
  </si>
  <si>
    <t>C2253</t>
  </si>
  <si>
    <t>NHAVA SHEVA</t>
  </si>
  <si>
    <t>MANILA NORTH HARBOUR</t>
  </si>
  <si>
    <t>KOPROLI, TAH-URAN</t>
  </si>
  <si>
    <t>Kolkata</t>
  </si>
  <si>
    <t>PASIRGUDANG</t>
  </si>
  <si>
    <t>HO CHI MINH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</si>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</sst>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;@"/>
    <numFmt numFmtId="165" formatCode="_(* #,##0_);_(* \(#,##0\);_(* &quot;-&quot;??_);_(@_)"/>
    <numFmt numFmtId="166" formatCode="B1mmm\-yy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2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34">
    <xf numFmtId="0" fontId="0" fillId="0" borderId="0" xfId="0"/>
    <xf numFmtId="49" fontId="4" fillId="4" borderId="2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vertical="center" wrapText="1"/>
    </xf>
    <xf numFmtId="0" fontId="1" fillId="0" borderId="0" xfId="0" applyFont="1"/>
    <xf numFmtId="1" fontId="1" fillId="0" borderId="3" xfId="0" applyNumberFormat="1" applyFont="1" applyBorder="1"/>
    <xf numFmtId="0" fontId="1" fillId="0" borderId="3" xfId="0" applyFont="1" applyBorder="1"/>
    <xf numFmtId="0" fontId="7" fillId="0" borderId="0" xfId="0" applyFont="1"/>
    <xf numFmtId="0" fontId="8" fillId="0" borderId="0" xfId="0" applyFont="1"/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vertical="center" wrapText="1"/>
    </xf>
    <xf numFmtId="1" fontId="1" fillId="0" borderId="4" xfId="0" applyNumberFormat="1" applyFont="1" applyBorder="1"/>
    <xf numFmtId="0" fontId="1" fillId="0" borderId="4" xfId="0" applyFont="1" applyBorder="1"/>
    <xf numFmtId="0" fontId="0" fillId="0" borderId="3" xfId="0" applyBorder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11" borderId="0" xfId="0" applyFont="1" applyFill="1"/>
    <xf numFmtId="0" fontId="12" fillId="0" borderId="0" xfId="0" applyFont="1"/>
    <xf numFmtId="49" fontId="13" fillId="4" borderId="1" xfId="0" applyNumberFormat="1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4" fontId="13" fillId="9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 wrapText="1"/>
    </xf>
    <xf numFmtId="10" fontId="13" fillId="10" borderId="5" xfId="0" applyNumberFormat="1" applyFont="1" applyFill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49" fontId="13" fillId="4" borderId="2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 wrapText="1"/>
    </xf>
    <xf numFmtId="10" fontId="13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49" fontId="13" fillId="4" borderId="9" xfId="0" applyNumberFormat="1" applyFont="1" applyFill="1" applyBorder="1" applyAlignment="1">
      <alignment horizontal="center" vertical="center" wrapText="1"/>
    </xf>
    <xf numFmtId="4" fontId="13" fillId="0" borderId="9" xfId="0" applyNumberFormat="1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10" fontId="13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/>
    <xf numFmtId="0" fontId="1" fillId="0" borderId="3" xfId="0" applyFont="1" applyBorder="1" applyAlignment="1">
      <alignment vertical="center"/>
    </xf>
    <xf numFmtId="49" fontId="4" fillId="4" borderId="3" xfId="0" applyNumberFormat="1" applyFont="1" applyFill="1" applyBorder="1" applyAlignment="1" applyProtection="1">
      <alignment vertical="center"/>
      <protection locked="0"/>
    </xf>
    <xf numFmtId="49" fontId="4" fillId="4" borderId="8" xfId="0" applyNumberFormat="1" applyFont="1" applyFill="1" applyBorder="1" applyAlignment="1">
      <alignment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4" fontId="4" fillId="5" borderId="8" xfId="0" applyNumberFormat="1" applyFont="1" applyFill="1" applyBorder="1" applyAlignment="1">
      <alignment vertical="center" wrapText="1"/>
    </xf>
    <xf numFmtId="1" fontId="1" fillId="0" borderId="9" xfId="0" applyNumberFormat="1" applyFont="1" applyBorder="1"/>
    <xf numFmtId="0" fontId="1" fillId="0" borderId="9" xfId="0" applyFont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49" fontId="4" fillId="4" borderId="3" xfId="0" applyNumberFormat="1" applyFont="1" applyFill="1" applyBorder="1" applyAlignment="1">
      <alignment vertical="center" wrapText="1"/>
    </xf>
    <xf numFmtId="49" fontId="4" fillId="4" borderId="3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49" fontId="4" fillId="13" borderId="3" xfId="0" applyNumberFormat="1" applyFont="1" applyFill="1" applyBorder="1" applyAlignment="1">
      <alignment vertical="center"/>
    </xf>
    <xf numFmtId="49" fontId="4" fillId="4" borderId="13" xfId="0" applyNumberFormat="1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vertical="center" wrapText="1"/>
    </xf>
    <xf numFmtId="4" fontId="4" fillId="14" borderId="1" xfId="0" applyNumberFormat="1" applyFont="1" applyFill="1" applyBorder="1" applyAlignment="1">
      <alignment vertical="center" wrapText="1"/>
    </xf>
    <xf numFmtId="4" fontId="4" fillId="14" borderId="2" xfId="0" applyNumberFormat="1" applyFont="1" applyFill="1" applyBorder="1" applyAlignment="1">
      <alignment vertical="center" wrapText="1"/>
    </xf>
    <xf numFmtId="4" fontId="4" fillId="14" borderId="8" xfId="0" applyNumberFormat="1" applyFont="1" applyFill="1" applyBorder="1" applyAlignment="1">
      <alignment vertical="center" wrapText="1"/>
    </xf>
    <xf numFmtId="2" fontId="1" fillId="14" borderId="3" xfId="0" applyNumberFormat="1" applyFont="1" applyFill="1" applyBorder="1" applyAlignment="1">
      <alignment horizontal="center" vertical="center"/>
    </xf>
    <xf numFmtId="2" fontId="1" fillId="15" borderId="3" xfId="0" applyNumberFormat="1" applyFont="1" applyFill="1" applyBorder="1" applyAlignment="1" applyProtection="1">
      <alignment horizontal="right" vertical="center"/>
      <protection locked="0"/>
    </xf>
    <xf numFmtId="2" fontId="1" fillId="15" borderId="3" xfId="0" applyNumberFormat="1" applyFont="1" applyFill="1" applyBorder="1" applyAlignment="1">
      <alignment horizontal="right"/>
    </xf>
    <xf numFmtId="2" fontId="1" fillId="15" borderId="3" xfId="0" applyNumberFormat="1" applyFont="1" applyFill="1" applyBorder="1"/>
    <xf numFmtId="2" fontId="4" fillId="15" borderId="3" xfId="0" applyNumberFormat="1" applyFont="1" applyFill="1" applyBorder="1" applyAlignment="1" applyProtection="1">
      <alignment horizontal="center" vertical="center"/>
      <protection locked="0"/>
    </xf>
    <xf numFmtId="2" fontId="1" fillId="15" borderId="3" xfId="0" applyNumberFormat="1" applyFont="1" applyFill="1" applyBorder="1" applyAlignment="1">
      <alignment horizontal="center"/>
    </xf>
    <xf numFmtId="10" fontId="4" fillId="12" borderId="4" xfId="0" applyNumberFormat="1" applyFont="1" applyFill="1" applyBorder="1" applyAlignment="1">
      <alignment horizontal="center" vertical="center" wrapText="1"/>
    </xf>
    <xf numFmtId="10" fontId="4" fillId="12" borderId="3" xfId="0" applyNumberFormat="1" applyFont="1" applyFill="1" applyBorder="1" applyAlignment="1">
      <alignment horizontal="center" vertical="center" wrapText="1"/>
    </xf>
    <xf numFmtId="10" fontId="4" fillId="12" borderId="9" xfId="0" applyNumberFormat="1" applyFont="1" applyFill="1" applyBorder="1" applyAlignment="1">
      <alignment horizontal="center" vertical="center" wrapText="1"/>
    </xf>
    <xf numFmtId="9" fontId="1" fillId="12" borderId="3" xfId="2" applyFont="1" applyFill="1" applyBorder="1" applyAlignment="1">
      <alignment horizontal="center" vertical="center"/>
    </xf>
    <xf numFmtId="1" fontId="4" fillId="0" borderId="3" xfId="0" applyNumberFormat="1" applyFont="1" applyBorder="1" applyAlignment="1" applyProtection="1">
      <alignment vertical="center"/>
      <protection locked="0"/>
    </xf>
    <xf numFmtId="1" fontId="1" fillId="0" borderId="3" xfId="0" applyNumberFormat="1" applyFont="1" applyBorder="1" applyAlignment="1">
      <alignment vertical="center"/>
    </xf>
    <xf numFmtId="3" fontId="4" fillId="4" borderId="3" xfId="0" applyNumberFormat="1" applyFont="1" applyFill="1" applyBorder="1" applyAlignment="1" applyProtection="1">
      <alignment horizontal="center" vertical="center"/>
      <protection locked="0"/>
    </xf>
    <xf numFmtId="0" fontId="1" fillId="16" borderId="3" xfId="0" applyFont="1" applyFill="1" applyBorder="1"/>
    <xf numFmtId="0" fontId="1" fillId="16" borderId="5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1" fontId="6" fillId="0" borderId="0" xfId="0" applyNumberFormat="1" applyFont="1"/>
    <xf numFmtId="2" fontId="1" fillId="15" borderId="3" xfId="0" applyNumberFormat="1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65" fontId="1" fillId="0" borderId="3" xfId="1" applyNumberFormat="1" applyFont="1" applyFill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vertical="center" wrapText="1"/>
    </xf>
    <xf numFmtId="49" fontId="4" fillId="0" borderId="13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/>
    <xf numFmtId="2" fontId="4" fillId="0" borderId="3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/>
    </xf>
    <xf numFmtId="1" fontId="4" fillId="0" borderId="3" xfId="0" applyNumberFormat="1" applyFont="1" applyBorder="1"/>
    <xf numFmtId="2" fontId="1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center"/>
    </xf>
    <xf numFmtId="49" fontId="13" fillId="4" borderId="14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6" fontId="6" fillId="0" borderId="3" xfId="0" quotePrefix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5" fillId="6" borderId="3" xfId="0" applyNumberFormat="1" applyFont="1" applyFill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9" fontId="13" fillId="4" borderId="4" xfId="0" applyNumberFormat="1" applyFont="1" applyFill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quotePrefix="1" applyFont="1" applyFill="1" applyBorder="1" applyAlignment="1">
      <alignment horizontal="center" vertical="center"/>
    </xf>
    <xf numFmtId="16" fontId="5" fillId="6" borderId="3" xfId="0" quotePrefix="1" applyNumberFormat="1" applyFont="1" applyFill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16" fontId="6" fillId="0" borderId="3" xfId="0" quotePrefix="1" applyNumberFormat="1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4" fontId="3" fillId="8" borderId="3" xfId="0" applyNumberFormat="1" applyFont="1" applyFill="1" applyBorder="1" applyAlignment="1">
      <alignment horizontal="center" vertical="center" wrapText="1"/>
    </xf>
    <xf numFmtId="4" fontId="3" fillId="7" borderId="3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wrapText="1"/>
    </xf>
    <xf numFmtId="4" fontId="3" fillId="2" borderId="3" xfId="0" applyNumberFormat="1" applyFont="1" applyFill="1" applyBorder="1" applyAlignment="1">
      <alignment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164" fontId="5" fillId="6" borderId="3" xfId="0" quotePrefix="1" applyNumberFormat="1" applyFont="1" applyFill="1" applyBorder="1" applyAlignment="1">
      <alignment horizontal="center" vertical="center"/>
    </xf>
    <xf numFmtId="17" fontId="5" fillId="6" borderId="3" xfId="0" quotePrefix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3">
    <dxf>
      <fill>
        <patternFill>
          <bgColor rgb="FFA2FE96"/>
        </patternFill>
      </fill>
    </dxf>
    <dxf>
      <fill>
        <patternFill>
          <bgColor rgb="FFA2FE96"/>
        </patternFill>
      </fill>
    </dxf>
    <dxf>
      <fill>
        <patternFill>
          <bgColor rgb="FFA2FE96"/>
        </patternFill>
      </fill>
    </dxf>
    <dxf>
      <fill>
        <patternFill>
          <bgColor rgb="FFA2FE96"/>
        </patternFill>
      </fill>
    </dxf>
    <dxf>
      <fill>
        <patternFill>
          <bgColor theme="0" tint="-0.14978484450819421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ill>
        <patternFill>
          <bgColor theme="0" tint="-0.14978484450819421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ill>
        <patternFill>
          <bgColor theme="0" tint="-0.14978484450819421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ill>
        <patternFill>
          <bgColor theme="0" tint="-0.14978484450819421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A2FE96"/>
        </patternFill>
      </fill>
    </dxf>
    <dxf>
      <fill>
        <patternFill>
          <bgColor theme="0" tint="-0.14978484450819421"/>
        </patternFill>
      </fill>
    </dxf>
    <dxf>
      <font>
        <color rgb="FFFF0000"/>
      </font>
      <fill>
        <patternFill>
          <bgColor theme="5" tint="0.59978026673177287"/>
        </patternFill>
      </fill>
    </dxf>
    <dxf>
      <font>
        <color theme="9" tint="-0.24976348155156103"/>
      </font>
      <fill>
        <patternFill>
          <bgColor theme="9" tint="0.7998596148564104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 LOADS REPORTING 2025 TO 2026 (R1) 8 (UPDATED).xlsx]Sheet1!PivotTable1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608512831916552E-2"/>
          <c:y val="0.14325851299251496"/>
          <c:w val="0.75233941253992231"/>
          <c:h val="0.47633285429259448"/>
        </c:manualLayout>
      </c:layout>
      <c:lineChart>
        <c:grouping val="standard"/>
        <c:varyColors val="0"/>
        <c:ser>
          <c:idx val="0"/>
          <c:order val="0"/>
          <c:tx>
            <c:strRef>
              <c:f>Sheet1!$B$3:$B$15</c:f>
              <c:strCache>
                <c:ptCount val="1"/>
                <c:pt idx="0">
                  <c:v>1 - 1 - 4 - 5 - 8 - 4 - 5 - 4 - (blank) - 5 - 6 - 8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Sheet1!$B$16:$B$39</c:f>
              <c:numCache>
                <c:formatCode>General</c:formatCode>
                <c:ptCount val="23"/>
                <c:pt idx="1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52AD-4E22-AA16-3D2FE81839A7}"/>
            </c:ext>
          </c:extLst>
        </c:ser>
        <c:ser>
          <c:idx val="1"/>
          <c:order val="1"/>
          <c:tx>
            <c:strRef>
              <c:f>Sheet1!$M$3:$M$15</c:f>
              <c:strCache>
                <c:ptCount val="1"/>
                <c:pt idx="0">
                  <c:v>1 - (blank) - 1 - (blank) - (blank) - 1 - 2 - 1 - 1 - 2 - 2 - 1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Sheet1!$M$16:$M$39</c:f>
              <c:numCache>
                <c:formatCode>General</c:formatCode>
                <c:ptCount val="23"/>
                <c:pt idx="2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52AD-4E22-AA16-3D2FE81839A7}"/>
            </c:ext>
          </c:extLst>
        </c:ser>
        <c:ser>
          <c:idx val="2"/>
          <c:order val="2"/>
          <c:tx>
            <c:strRef>
              <c:f>Sheet1!$Y$3:$Y$15</c:f>
              <c:strCache>
                <c:ptCount val="1"/>
                <c:pt idx="0">
                  <c:v>2 - 6 - 10 - 8 - 2 - 2 - 8 - 2 - 10 - 4 - (blank) - 10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Sheet1!$Y$16:$Y$39</c:f>
              <c:numCache>
                <c:formatCode>General</c:formatCode>
                <c:ptCount val="23"/>
                <c:pt idx="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2AD-4E22-AA16-3D2FE81839A7}"/>
            </c:ext>
          </c:extLst>
        </c:ser>
        <c:ser>
          <c:idx val="3"/>
          <c:order val="3"/>
          <c:tx>
            <c:strRef>
              <c:f>Sheet1!$AK$3:$AK$15</c:f>
              <c:strCache>
                <c:ptCount val="1"/>
                <c:pt idx="0">
                  <c:v>3 - 6 - (blank) - (blank) - (blank) - 4 - (blank) - (blank) - (blank) - (blank) - (blank) - (blank)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Sheet1!$AK$16:$AK$39</c:f>
              <c:numCache>
                <c:formatCode>General</c:formatCode>
                <c:ptCount val="23"/>
                <c:pt idx="1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52AD-4E22-AA16-3D2FE81839A7}"/>
            </c:ext>
          </c:extLst>
        </c:ser>
        <c:ser>
          <c:idx val="4"/>
          <c:order val="4"/>
          <c:tx>
            <c:strRef>
              <c:f>Sheet1!$AV$3:$AV$15</c:f>
              <c:strCache>
                <c:ptCount val="1"/>
                <c:pt idx="0">
                  <c:v>3 - 8 - 3 - 6 - 2 - 14 - 17 - 6 - 11 - 18 - 34 - 3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Sheet1!$AV$16:$AV$39</c:f>
              <c:numCache>
                <c:formatCode>General</c:formatCode>
                <c:ptCount val="23"/>
                <c:pt idx="18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2AD-4E22-AA16-3D2FE81839A7}"/>
            </c:ext>
          </c:extLst>
        </c:ser>
        <c:ser>
          <c:idx val="5"/>
          <c:order val="5"/>
          <c:tx>
            <c:strRef>
              <c:f>Sheet1!$BH$3:$BH$15</c:f>
              <c:strCache>
                <c:ptCount val="1"/>
                <c:pt idx="0">
                  <c:v>4 - 2 - 3 - (blank) - 4 - (blank) - 10 - 9 - 9 - 10 - 11 - 3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Sheet1!$BH$16:$BH$39</c:f>
              <c:numCache>
                <c:formatCode>General</c:formatCode>
                <c:ptCount val="23"/>
                <c:pt idx="1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52AD-4E22-AA16-3D2FE81839A7}"/>
            </c:ext>
          </c:extLst>
        </c:ser>
        <c:ser>
          <c:idx val="6"/>
          <c:order val="6"/>
          <c:tx>
            <c:strRef>
              <c:f>Sheet1!$BP$3:$BP$15</c:f>
              <c:strCache>
                <c:ptCount val="1"/>
                <c:pt idx="0">
                  <c:v>4 - 2 - 3 - (blank) - (blank) - 7 - 10 - (blank) - (blank) - 7 - 11 - 9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Sheet1!$BP$16:$BP$39</c:f>
              <c:numCache>
                <c:formatCode>General</c:formatCode>
                <c:ptCount val="23"/>
                <c:pt idx="6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2AD-4E22-AA16-3D2FE81839A7}"/>
            </c:ext>
          </c:extLst>
        </c:ser>
        <c:ser>
          <c:idx val="7"/>
          <c:order val="7"/>
          <c:tx>
            <c:strRef>
              <c:f>Sheet1!$CB$3:$CB$15</c:f>
              <c:strCache>
                <c:ptCount val="1"/>
                <c:pt idx="0">
                  <c:v>7 - 26 - 6 - 4 - 14 - 8 - 18 - 11 - 9 - 45 - 16 - 7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Sheet1!$CB$16:$CB$39</c:f>
              <c:numCache>
                <c:formatCode>General</c:formatCode>
                <c:ptCount val="23"/>
                <c:pt idx="16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52AD-4E22-AA16-3D2FE81839A7}"/>
            </c:ext>
          </c:extLst>
        </c:ser>
        <c:ser>
          <c:idx val="8"/>
          <c:order val="8"/>
          <c:tx>
            <c:strRef>
              <c:f>Sheet1!$CN$3:$CN$15</c:f>
              <c:strCache>
                <c:ptCount val="1"/>
                <c:pt idx="0">
                  <c:v>10 - 10 - 9 - 11 - 4 - 11 - 5 - 21 - 5 - 25 - 30 - 15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Sheet1!$CN$16:$CN$39</c:f>
              <c:numCache>
                <c:formatCode>General</c:formatCode>
                <c:ptCount val="23"/>
                <c:pt idx="16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2AD-4E22-AA16-3D2FE81839A7}"/>
            </c:ext>
          </c:extLst>
        </c:ser>
        <c:ser>
          <c:idx val="9"/>
          <c:order val="9"/>
          <c:tx>
            <c:strRef>
              <c:f>Sheet1!$CZ$3:$CZ$15</c:f>
              <c:strCache>
                <c:ptCount val="1"/>
                <c:pt idx="0">
                  <c:v>(blank) - 3 - (blank) - (blank) - (blank) - (blank) - (blank) - (blank) - (blank) - (blank) - (blank) - (blank)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Sheet1!$CZ$16:$CZ$39</c:f>
              <c:numCache>
                <c:formatCode>General</c:formatCode>
                <c:ptCount val="23"/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52AD-4E22-AA16-3D2FE81839A7}"/>
            </c:ext>
          </c:extLst>
        </c:ser>
        <c:ser>
          <c:idx val="10"/>
          <c:order val="10"/>
          <c:tx>
            <c:strRef>
              <c:f>Sheet1!$DK$3:$DK$15</c:f>
              <c:strCache>
                <c:ptCount val="1"/>
                <c:pt idx="0">
                  <c:v>(blank) - 5 - 8 - 6 - 17 - 9 - 24 - 29 - 53 - (blank) - 25 - 14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Sheet1!$DK$16:$DK$39</c:f>
              <c:numCache>
                <c:formatCode>General</c:formatCode>
                <c:ptCount val="23"/>
                <c:pt idx="16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2AD-4E22-AA16-3D2FE81839A7}"/>
            </c:ext>
          </c:extLst>
        </c:ser>
        <c:ser>
          <c:idx val="11"/>
          <c:order val="11"/>
          <c:tx>
            <c:strRef>
              <c:f>Sheet1!$DV$3:$DV$15</c:f>
              <c:strCache>
                <c:ptCount val="1"/>
                <c:pt idx="0">
                  <c:v>(blank) - (blank) - 5 - (blank) - (blank) - (blank) - (blank) - (blank) - (blank) - 8 - 20 - 12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Sheet1!$DV$16:$DV$39</c:f>
              <c:numCache>
                <c:formatCode>General</c:formatCode>
                <c:ptCount val="23"/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52AD-4E22-AA16-3D2FE81839A7}"/>
            </c:ext>
          </c:extLst>
        </c:ser>
        <c:ser>
          <c:idx val="12"/>
          <c:order val="12"/>
          <c:tx>
            <c:strRef>
              <c:f>Sheet1!$EF$3:$EF$15</c:f>
              <c:strCache>
                <c:ptCount val="1"/>
                <c:pt idx="0">
                  <c:v>(blank) - (blank) - (blank) - (blank) - 8 - (blank) - (blank) - 6 - 7 - (blank) - (blank) - (blank)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Sheet1!$EF$16:$EF$39</c:f>
              <c:numCache>
                <c:formatCode>General</c:formatCode>
                <c:ptCount val="23"/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2AD-4E22-AA16-3D2FE81839A7}"/>
            </c:ext>
          </c:extLst>
        </c:ser>
        <c:ser>
          <c:idx val="13"/>
          <c:order val="13"/>
          <c:tx>
            <c:strRef>
              <c:f>Sheet1!$EN$3:$EN$15</c:f>
              <c:strCache>
                <c:ptCount val="1"/>
                <c:pt idx="0">
                  <c:v>(blank) - (blank) - (blank) - (blank) - 12 - (blank) - 12 - (blank) - 10 - (blank) - (blank) - (blank)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Sheet1!$EN$16:$EN$39</c:f>
              <c:numCache>
                <c:formatCode>General</c:formatCode>
                <c:ptCount val="23"/>
                <c:pt idx="1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52AD-4E22-AA16-3D2FE81839A7}"/>
            </c:ext>
          </c:extLst>
        </c:ser>
        <c:ser>
          <c:idx val="14"/>
          <c:order val="14"/>
          <c:tx>
            <c:strRef>
              <c:f>Sheet1!$EV$3:$EV$15</c:f>
              <c:strCache>
                <c:ptCount val="1"/>
                <c:pt idx="0">
                  <c:v>(blank) - (blank) - (blank) - (blank) - (blank) - (blank) - (blank) - (blank) - (blank) - (blank) - (blank) - (blank)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Sheet1!$A$16:$A$39</c:f>
              <c:strCache>
                <c:ptCount val="23"/>
                <c:pt idx="0">
                  <c:v>Adelaide</c:v>
                </c:pt>
                <c:pt idx="1">
                  <c:v>AUCKLAND</c:v>
                </c:pt>
                <c:pt idx="2">
                  <c:v>Brisbane</c:v>
                </c:pt>
                <c:pt idx="3">
                  <c:v>Dongguan</c:v>
                </c:pt>
                <c:pt idx="4">
                  <c:v>DONGGUAN, SHATIAN</c:v>
                </c:pt>
                <c:pt idx="5">
                  <c:v>HAIPHONG</c:v>
                </c:pt>
                <c:pt idx="6">
                  <c:v>HO CHI MINH, CAT LAI</c:v>
                </c:pt>
                <c:pt idx="7">
                  <c:v>ICD DADRI VIA NHAVA SHEVA</c:v>
                </c:pt>
                <c:pt idx="8">
                  <c:v>Jakarta</c:v>
                </c:pt>
                <c:pt idx="9">
                  <c:v>Jebel Ali</c:v>
                </c:pt>
                <c:pt idx="10">
                  <c:v>Kaohsiung</c:v>
                </c:pt>
                <c:pt idx="11">
                  <c:v>MANILA NORTH</c:v>
                </c:pt>
                <c:pt idx="12">
                  <c:v>Melbourne</c:v>
                </c:pt>
                <c:pt idx="13">
                  <c:v>Nagoya</c:v>
                </c:pt>
                <c:pt idx="14">
                  <c:v>Nanjing</c:v>
                </c:pt>
                <c:pt idx="15">
                  <c:v>NANSHA</c:v>
                </c:pt>
                <c:pt idx="16">
                  <c:v>Nhava Sheva</c:v>
                </c:pt>
                <c:pt idx="17">
                  <c:v>PASIR GUDANG</c:v>
                </c:pt>
                <c:pt idx="18">
                  <c:v>PIPAVAV</c:v>
                </c:pt>
                <c:pt idx="19">
                  <c:v>Sydney</c:v>
                </c:pt>
                <c:pt idx="20">
                  <c:v>WELLINGTON</c:v>
                </c:pt>
                <c:pt idx="21">
                  <c:v>Yokohama</c:v>
                </c:pt>
                <c:pt idx="22">
                  <c:v>(blank)</c:v>
                </c:pt>
              </c:strCache>
            </c:strRef>
          </c:cat>
          <c:val>
            <c:numRef>
              <c:f>Sheet1!$EV$16:$EV$39</c:f>
              <c:numCache>
                <c:formatCode>General</c:formatCode>
                <c:ptCount val="23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2AD-4E22-AA16-3D2FE8183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416288"/>
        <c:axId val="1828816944"/>
      </c:lineChart>
      <c:catAx>
        <c:axId val="21841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816944"/>
        <c:crosses val="autoZero"/>
        <c:auto val="1"/>
        <c:lblAlgn val="ctr"/>
        <c:lblOffset val="100"/>
        <c:noMultiLvlLbl val="0"/>
      </c:catAx>
      <c:valAx>
        <c:axId val="18288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162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154641</xdr:colOff>
      <xdr:row>20</xdr:row>
      <xdr:rowOff>7100</xdr:rowOff>
    </xdr:from>
    <xdr:to>
      <xdr:col>19</xdr:col>
      <xdr:colOff>702235</xdr:colOff>
      <xdr:row>38</xdr:row>
      <xdr:rowOff>171827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661AB-BAC4-1315-0AA4-B221AF3A1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n%20Goh\Documents\2.%20My%20BIDS%20&amp;%20TENDERS\DOW%20Tender%202024-2025\Thailand%20KICK%20OFF\Dow%20Award%2016%20AUG%2024\Bid+Form-2024-2025G-TenderAwar-E-WayAlliance-0816241306.xlsx" TargetMode="External"/><Relationship Id="rId1" Type="http://schemas.openxmlformats.org/officeDocument/2006/relationships/externalLinkPath" Target="https://ewayalliance.sharepoint.com/Users/Ken%20Goh/Documents/2.%20My%20BIDS%20&amp;%20TENDERS/DOW%20Tender%202024-2025/Dow%20Award%2016%20AUG%2024/Bid+Form-2024-2025G-TenderAwar-E-WayAlliance-08162413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eedback"/>
      <sheetName val="Trucking"/>
      <sheetName val="Validation"/>
      <sheetName val="Port or Ramp"/>
      <sheetName val="Equipment Prep"/>
      <sheetName val="Cleaning-Repo-Misc"/>
      <sheetName val="Dedicated Lanes"/>
      <sheetName val="Leased Tanks"/>
      <sheetName val="Consolidated Bids"/>
      <sheetName val="Category mapping"/>
      <sheetName val="Sheet1"/>
      <sheetName val="TOC"/>
      <sheetName val="validationInfo"/>
    </sheetNames>
    <sheetDataSet>
      <sheetData sheetId="0"/>
      <sheetData sheetId="1"/>
      <sheetData sheetId="2"/>
      <sheetData sheetId="3">
        <row r="20">
          <cell r="A20" t="str">
            <v>Movement Type</v>
          </cell>
          <cell r="B20" t="str">
            <v>Pre Carriage</v>
          </cell>
          <cell r="C20" t="str">
            <v>Sea Freight Port to Port including fuel</v>
          </cell>
          <cell r="D20" t="str">
            <v>On Carriage</v>
          </cell>
          <cell r="E20" t="str">
            <v>Equipment Prep at Origin</v>
          </cell>
          <cell r="F20" t="str">
            <v>Cleaning, repo, misc. cost at destination</v>
          </cell>
        </row>
        <row r="21">
          <cell r="A21" t="str">
            <v>Door to Port</v>
          </cell>
          <cell r="B21">
            <v>1</v>
          </cell>
          <cell r="C21">
            <v>1</v>
          </cell>
          <cell r="D21">
            <v>0</v>
          </cell>
          <cell r="E21">
            <v>1</v>
          </cell>
          <cell r="F21">
            <v>1</v>
          </cell>
        </row>
        <row r="22">
          <cell r="A22" t="str">
            <v>Door to Door</v>
          </cell>
          <cell r="B22">
            <v>1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</row>
        <row r="23">
          <cell r="A23" t="str">
            <v>Port to Port</v>
          </cell>
          <cell r="B23">
            <v>0</v>
          </cell>
          <cell r="C23">
            <v>1</v>
          </cell>
          <cell r="D23">
            <v>0</v>
          </cell>
          <cell r="E23">
            <v>1</v>
          </cell>
          <cell r="F23">
            <v>1</v>
          </cell>
        </row>
        <row r="24">
          <cell r="A24" t="str">
            <v>Port to Door</v>
          </cell>
          <cell r="B24">
            <v>0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tikran Tippahon" refreshedDate="46227.658331828701" createdVersion="8" refreshedVersion="8" minRefreshableVersion="3" recordCount="33" xr:uid="{61E9D56F-E1EA-4111-B71D-9E9207F1ACC4}">
  <cacheSource type="worksheet">
    <worksheetSource ref="A6:AT47" sheet="Awarded "/>
  </cacheSource>
  <cacheFields count="36">
    <cacheField name="Item Name" numFmtId="0">
      <sharedItems containsBlank="1"/>
    </cacheField>
    <cacheField name="Supplying Region" numFmtId="0">
      <sharedItems containsBlank="1"/>
    </cacheField>
    <cacheField name="Plant Location" numFmtId="0">
      <sharedItems containsBlank="1"/>
    </cacheField>
    <cacheField name="Shipping Country" numFmtId="0">
      <sharedItems containsBlank="1"/>
    </cacheField>
    <cacheField name="Shipping Port Name" numFmtId="0">
      <sharedItems containsBlank="1"/>
    </cacheField>
    <cacheField name="Ship To Region" numFmtId="0">
      <sharedItems containsBlank="1"/>
    </cacheField>
    <cacheField name="Destination Country" numFmtId="0">
      <sharedItems containsBlank="1"/>
    </cacheField>
    <cacheField name="Destination Port Name" numFmtId="0">
      <sharedItems containsBlank="1"/>
    </cacheField>
    <cacheField name="Destination City" numFmtId="0">
      <sharedItems containsBlank="1" count="23">
        <m/>
        <s v="Nanjing"/>
        <s v="NANSHA"/>
        <s v="Nagoya"/>
        <s v="Yokohama"/>
        <s v="MANILA NORTH"/>
        <s v="Kaohsiung"/>
        <s v="HO CHI MINH, CAT LAI"/>
        <s v="Jebel Ali"/>
        <s v="HAIPHONG"/>
        <s v="Adelaide"/>
        <s v="Brisbane"/>
        <s v="Melbourne"/>
        <s v="Sydney"/>
        <s v="Jakarta"/>
        <s v="PASIR GUDANG"/>
        <s v="AUCKLAND"/>
        <s v="WELLINGTON"/>
        <s v="Nhava Sheva"/>
        <s v="PIPAVAV"/>
        <s v="Dongguan"/>
        <s v="DONGGUAN, SHATIAN"/>
        <s v="ICD DADRI VIA NHAVA SHEVA"/>
      </sharedItems>
    </cacheField>
    <cacheField name="Perf Center" numFmtId="0">
      <sharedItems containsBlank="1"/>
    </cacheField>
    <cacheField name="Movement Type" numFmtId="0">
      <sharedItems containsBlank="1"/>
    </cacheField>
    <cacheField name="Equipment Type" numFmtId="0">
      <sharedItems containsBlank="1"/>
    </cacheField>
    <cacheField name="Required Free Detention Days at Destination" numFmtId="0">
      <sharedItems containsBlank="1" containsMixedTypes="1" containsNumber="1" containsInteger="1" minValue="15" maxValue="15"/>
    </cacheField>
    <cacheField name="Prep Cost Region" numFmtId="0">
      <sharedItems containsBlank="1"/>
    </cacheField>
    <cacheField name="12-Months volume forecast - Number of Isotanks" numFmtId="0">
      <sharedItems containsString="0" containsBlank="1" containsNumber="1" containsInteger="1" minValue="1" maxValue="300" count="23">
        <m/>
        <n v="83"/>
        <n v="1"/>
        <n v="116"/>
        <n v="2"/>
        <n v="12"/>
        <n v="152"/>
        <n v="48"/>
        <n v="8"/>
        <n v="19"/>
        <n v="37"/>
        <n v="300"/>
        <n v="24"/>
        <n v="69"/>
        <n v="14"/>
        <n v="41"/>
        <n v="287"/>
        <n v="125"/>
        <n v="214"/>
        <n v="95"/>
        <n v="40"/>
        <n v="42"/>
        <n v="47"/>
      </sharedItems>
    </cacheField>
    <cacheField name="Sea Freight Port to Port including fuel" numFmtId="0">
      <sharedItems containsString="0" containsBlank="1" containsNumber="1" containsInteger="1" minValue="190" maxValue="1550"/>
    </cacheField>
    <cacheField name="On Carriage" numFmtId="0">
      <sharedItems containsString="0" containsBlank="1" containsNumber="1" containsInteger="1" minValue="1775" maxValue="1775"/>
    </cacheField>
    <cacheField name="HAZ MAT FEE TRUCK" numFmtId="0">
      <sharedItems containsString="0" containsBlank="1" containsNumber="1" containsInteger="1" minValue="0" maxValue="350"/>
    </cacheField>
    <cacheField name="Cleaning, repo, misc. cost at destination" numFmtId="0">
      <sharedItems containsString="0" containsBlank="1" containsNumber="1" containsInteger="1" minValue="450" maxValue="2370"/>
    </cacheField>
    <cacheField name="All-in Rate" numFmtId="0">
      <sharedItems containsString="0" containsBlank="1" containsNumber="1" containsInteger="1" minValue="800" maxValue="4200"/>
    </cacheField>
    <cacheField name="Bid Completion" numFmtId="0">
      <sharedItems containsBlank="1"/>
    </cacheField>
    <cacheField name="Awarded Volume Allocation%" numFmtId="0">
      <sharedItems containsString="0" containsBlank="1" containsNumber="1" minValue="0.05" maxValue="1" count="7">
        <m/>
        <n v="0.3"/>
        <n v="1"/>
        <n v="0.2"/>
        <n v="0.28000000000000003"/>
        <n v="0.5"/>
        <n v="0.05"/>
      </sharedItems>
    </cacheField>
    <cacheField name="Eway Actual TEUs" numFmtId="0">
      <sharedItems containsString="0" containsBlank="1" containsNumber="1" minValue="0.60000000000000009" maxValue="107" count="26">
        <m/>
        <n v="24.9"/>
        <n v="1"/>
        <n v="23.200000000000003"/>
        <n v="2"/>
        <n v="12"/>
        <n v="42.56"/>
        <n v="24"/>
        <n v="8"/>
        <n v="3.5999999999999996"/>
        <n v="5.7"/>
        <n v="11.1"/>
        <n v="34.799999999999997"/>
        <n v="60"/>
        <n v="69"/>
        <n v="14"/>
        <n v="8.2000000000000011"/>
        <n v="58"/>
        <n v="86.1"/>
        <n v="62.5"/>
        <n v="107"/>
        <n v="47.5"/>
        <n v="20"/>
        <n v="2.1"/>
        <n v="2.35"/>
        <n v="0.60000000000000009"/>
      </sharedItems>
    </cacheField>
    <cacheField name="Jul 25" numFmtId="0">
      <sharedItems containsString="0" containsBlank="1" containsNumber="1" containsInteger="1" minValue="1" maxValue="10" count="7">
        <m/>
        <n v="3"/>
        <n v="1"/>
        <n v="2"/>
        <n v="4"/>
        <n v="10"/>
        <n v="7"/>
      </sharedItems>
    </cacheField>
    <cacheField name="Aug 25" numFmtId="0">
      <sharedItems containsString="0" containsBlank="1" containsNumber="1" containsInteger="1" minValue="1" maxValue="26" count="9">
        <m/>
        <n v="3"/>
        <n v="6"/>
        <n v="1"/>
        <n v="2"/>
        <n v="10"/>
        <n v="26"/>
        <n v="5"/>
        <n v="8"/>
      </sharedItems>
    </cacheField>
    <cacheField name="Sep 25" numFmtId="0">
      <sharedItems containsString="0" containsBlank="1" containsNumber="1" containsInteger="1" minValue="1" maxValue="10" count="9">
        <m/>
        <n v="5"/>
        <n v="4"/>
        <n v="10"/>
        <n v="1"/>
        <n v="3"/>
        <n v="9"/>
        <n v="6"/>
        <n v="8"/>
      </sharedItems>
    </cacheField>
    <cacheField name="Oct 25" numFmtId="0">
      <sharedItems containsString="0" containsBlank="1" containsNumber="1" containsInteger="1" minValue="4" maxValue="11" count="6">
        <m/>
        <n v="5"/>
        <n v="8"/>
        <n v="11"/>
        <n v="4"/>
        <n v="6"/>
      </sharedItems>
    </cacheField>
    <cacheField name="Nov 25" numFmtId="0">
      <sharedItems containsString="0" containsBlank="1" containsNumber="1" containsInteger="1" minValue="2" maxValue="17" count="7">
        <m/>
        <n v="8"/>
        <n v="2"/>
        <n v="4"/>
        <n v="14"/>
        <n v="12"/>
        <n v="17"/>
      </sharedItems>
    </cacheField>
    <cacheField name="ธ.ค.-25" numFmtId="0">
      <sharedItems containsString="0" containsBlank="1" containsNumber="1" containsInteger="1" minValue="1" maxValue="14" count="9">
        <m/>
        <n v="4"/>
        <n v="2"/>
        <n v="1"/>
        <n v="7"/>
        <n v="11"/>
        <n v="8"/>
        <n v="9"/>
        <n v="14"/>
      </sharedItems>
    </cacheField>
    <cacheField name="Jan 26" numFmtId="0">
      <sharedItems containsString="0" containsBlank="1" containsNumber="1" containsInteger="1" minValue="2" maxValue="24" count="9">
        <m/>
        <n v="5"/>
        <n v="8"/>
        <n v="2"/>
        <n v="10"/>
        <n v="18"/>
        <n v="12"/>
        <n v="24"/>
        <n v="17"/>
      </sharedItems>
    </cacheField>
    <cacheField name="ก.พ.-26" numFmtId="0">
      <sharedItems containsString="0" containsBlank="1" containsNumber="1" containsInteger="1" minValue="1" maxValue="29" count="9">
        <m/>
        <n v="4"/>
        <n v="2"/>
        <n v="1"/>
        <n v="6"/>
        <n v="21"/>
        <n v="11"/>
        <n v="29"/>
        <n v="9"/>
      </sharedItems>
    </cacheField>
    <cacheField name="มี.ค.-26" numFmtId="0">
      <sharedItems containsString="0" containsBlank="1" containsNumber="1" containsInteger="1" minValue="1" maxValue="53" count="8">
        <m/>
        <n v="10"/>
        <n v="1"/>
        <n v="7"/>
        <n v="5"/>
        <n v="9"/>
        <n v="53"/>
        <n v="11"/>
      </sharedItems>
    </cacheField>
    <cacheField name="เม.ย.-26" numFmtId="0">
      <sharedItems containsString="0" containsBlank="1" containsNumber="1" containsInteger="1" minValue="2" maxValue="45" count="10">
        <m/>
        <n v="8"/>
        <n v="5"/>
        <n v="4"/>
        <n v="2"/>
        <n v="7"/>
        <n v="25"/>
        <n v="45"/>
        <n v="18"/>
        <n v="10"/>
      </sharedItems>
    </cacheField>
    <cacheField name="พ.ค.-26" numFmtId="0">
      <sharedItems containsString="0" containsBlank="1" containsNumber="1" containsInteger="1" minValue="2" maxValue="34" count="9">
        <m/>
        <n v="20"/>
        <n v="6"/>
        <n v="2"/>
        <n v="11"/>
        <n v="30"/>
        <n v="16"/>
        <n v="25"/>
        <n v="34"/>
      </sharedItems>
    </cacheField>
    <cacheField name="มิ.ย.-26" numFmtId="0">
      <sharedItems containsString="0" containsBlank="1" containsNumber="1" containsInteger="1" minValue="1" maxValue="15" count="10">
        <m/>
        <n v="12"/>
        <n v="8"/>
        <n v="10"/>
        <n v="1"/>
        <n v="9"/>
        <n v="15"/>
        <n v="7"/>
        <n v="14"/>
        <n v="3"/>
      </sharedItems>
    </cacheField>
    <cacheField name="Total" numFmtId="0">
      <sharedItems containsString="0" containsBlank="1" containsNumber="1" containsInteger="1" minValue="0" maxValue="1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m/>
    <m/>
    <m/>
    <m/>
    <m/>
    <m/>
    <m/>
    <m/>
    <x v="0"/>
    <m/>
    <m/>
    <m/>
    <m/>
    <m/>
    <x v="0"/>
    <m/>
    <m/>
    <m/>
    <m/>
    <m/>
    <m/>
    <x v="0"/>
    <x v="0"/>
    <x v="0"/>
    <x v="0"/>
    <x v="0"/>
    <x v="0"/>
    <x v="0"/>
    <x v="0"/>
    <x v="0"/>
    <x v="0"/>
    <x v="0"/>
    <x v="0"/>
    <x v="0"/>
    <x v="0"/>
    <m/>
  </r>
  <r>
    <s v="CO0185"/>
    <s v="APAC"/>
    <s v="BUSAN"/>
    <s v="SOUTH KOREA"/>
    <s v="BUSAN"/>
    <s v="APAC"/>
    <s v="CHINA"/>
    <s v="Nanjing"/>
    <x v="1"/>
    <s v="SADARA ETHYLENEAMINES"/>
    <s v="PORT TO PORT"/>
    <s v="ISO Tank - Standard"/>
    <s v="15"/>
    <s v="SOUTH KOREA"/>
    <x v="1"/>
    <n v="390"/>
    <m/>
    <n v="0"/>
    <n v="450"/>
    <n v="840"/>
    <s v="Complete"/>
    <x v="1"/>
    <x v="1"/>
    <x v="0"/>
    <x v="0"/>
    <x v="0"/>
    <x v="0"/>
    <x v="0"/>
    <x v="0"/>
    <x v="0"/>
    <x v="0"/>
    <x v="0"/>
    <x v="0"/>
    <x v="0"/>
    <x v="0"/>
    <n v="0"/>
  </r>
  <r>
    <s v="CO0186"/>
    <s v="APAC"/>
    <s v="BUSAN"/>
    <s v="SOUTH KOREA"/>
    <s v="BUSAN"/>
    <s v="APAC"/>
    <s v="CHINA"/>
    <s v="NANSHA"/>
    <x v="2"/>
    <s v="OXO ACIDS"/>
    <s v="PORT TO PORT"/>
    <s v="ISO Tank - Standard"/>
    <s v="15"/>
    <s v="SOUTH KOREA"/>
    <x v="2"/>
    <n v="640"/>
    <m/>
    <n v="0"/>
    <n v="600"/>
    <n v="1240"/>
    <s v="Complete"/>
    <x v="2"/>
    <x v="2"/>
    <x v="0"/>
    <x v="0"/>
    <x v="0"/>
    <x v="0"/>
    <x v="0"/>
    <x v="0"/>
    <x v="0"/>
    <x v="0"/>
    <x v="0"/>
    <x v="0"/>
    <x v="0"/>
    <x v="0"/>
    <n v="0"/>
  </r>
  <r>
    <s v="CO0187"/>
    <s v="APAC"/>
    <s v="BUSAN"/>
    <s v="SOUTH KOREA"/>
    <s v="BUSAN"/>
    <s v="APAC"/>
    <s v="CHINA"/>
    <s v="NANSHA"/>
    <x v="2"/>
    <s v="SADARA ETHYLENEAMINES"/>
    <s v="PORT TO PORT"/>
    <s v="ISO Tank - Standard"/>
    <s v="15"/>
    <s v="SOUTH KOREA"/>
    <x v="3"/>
    <n v="640"/>
    <m/>
    <n v="0"/>
    <n v="600"/>
    <n v="1240"/>
    <s v="Complete"/>
    <x v="3"/>
    <x v="3"/>
    <x v="0"/>
    <x v="0"/>
    <x v="0"/>
    <x v="0"/>
    <x v="0"/>
    <x v="0"/>
    <x v="0"/>
    <x v="0"/>
    <x v="0"/>
    <x v="0"/>
    <x v="0"/>
    <x v="0"/>
    <n v="0"/>
  </r>
  <r>
    <s v="CO0204"/>
    <s v="APAC"/>
    <s v="BUSAN"/>
    <s v="SOUTH KOREA"/>
    <s v="BUSAN"/>
    <s v="APAC"/>
    <s v="JAPAN"/>
    <s v="Nagoya"/>
    <x v="3"/>
    <s v="SADARA FLEXIBLES MOLDED"/>
    <s v="PORT TO PORT"/>
    <s v="ISO Tank - Standard"/>
    <s v="15"/>
    <s v="SOUTH KOREA"/>
    <x v="4"/>
    <n v="450"/>
    <m/>
    <n v="0"/>
    <n v="1050"/>
    <n v="1500"/>
    <s v="Complete"/>
    <x v="2"/>
    <x v="4"/>
    <x v="0"/>
    <x v="0"/>
    <x v="0"/>
    <x v="0"/>
    <x v="0"/>
    <x v="0"/>
    <x v="0"/>
    <x v="0"/>
    <x v="0"/>
    <x v="0"/>
    <x v="0"/>
    <x v="0"/>
    <n v="0"/>
  </r>
  <r>
    <s v="CO0209"/>
    <s v="APAC"/>
    <s v="BUSAN"/>
    <s v="SOUTH KOREA"/>
    <s v="BUSAN"/>
    <s v="APAC"/>
    <s v="JAPAN"/>
    <s v="Yokohama"/>
    <x v="4"/>
    <s v="PROPIONIC ESTERS"/>
    <s v="PORT TO PORT"/>
    <s v="ISO Tank - Standard"/>
    <s v="15"/>
    <s v="SOUTH KOREA"/>
    <x v="5"/>
    <n v="265"/>
    <m/>
    <n v="0"/>
    <n v="1200"/>
    <n v="1465"/>
    <s v="Complete"/>
    <x v="2"/>
    <x v="5"/>
    <x v="0"/>
    <x v="0"/>
    <x v="0"/>
    <x v="0"/>
    <x v="0"/>
    <x v="0"/>
    <x v="0"/>
    <x v="0"/>
    <x v="0"/>
    <x v="0"/>
    <x v="0"/>
    <x v="0"/>
    <n v="0"/>
  </r>
  <r>
    <s v="CO0210"/>
    <s v="APAC"/>
    <s v="BUSAN"/>
    <s v="SOUTH KOREA"/>
    <s v="BUSAN"/>
    <s v="APAC"/>
    <s v="JAPAN"/>
    <s v="Yokohama"/>
    <x v="4"/>
    <s v="SADARA ETHANOLAMINES"/>
    <s v="PORT TO PORT"/>
    <s v="ISO Tank - Standard"/>
    <s v="15"/>
    <s v="SOUTH KOREA"/>
    <x v="6"/>
    <n v="265"/>
    <m/>
    <n v="0"/>
    <n v="1200"/>
    <n v="1500"/>
    <s v="Complete"/>
    <x v="4"/>
    <x v="6"/>
    <x v="0"/>
    <x v="0"/>
    <x v="0"/>
    <x v="0"/>
    <x v="0"/>
    <x v="0"/>
    <x v="0"/>
    <x v="0"/>
    <x v="0"/>
    <x v="0"/>
    <x v="0"/>
    <x v="0"/>
    <n v="0"/>
  </r>
  <r>
    <s v="CO0221"/>
    <s v="APAC"/>
    <s v="BUSAN"/>
    <s v="SOUTH KOREA"/>
    <s v="BUSAN"/>
    <s v="APAC"/>
    <s v="PHILIPPINES"/>
    <s v="MANILA NORTH"/>
    <x v="5"/>
    <s v="SADARA ETHANOLAMINES"/>
    <s v="PORT TO PORT"/>
    <s v="ISO Tank - Standard"/>
    <s v="15"/>
    <s v="SOUTH KOREA"/>
    <x v="5"/>
    <n v="400"/>
    <m/>
    <n v="0"/>
    <n v="850"/>
    <n v="1250"/>
    <s v="Complete"/>
    <x v="2"/>
    <x v="5"/>
    <x v="0"/>
    <x v="0"/>
    <x v="0"/>
    <x v="0"/>
    <x v="0"/>
    <x v="0"/>
    <x v="0"/>
    <x v="0"/>
    <x v="0"/>
    <x v="0"/>
    <x v="0"/>
    <x v="0"/>
    <n v="0"/>
  </r>
  <r>
    <s v="CO0226"/>
    <s v="APAC"/>
    <s v="BUSAN"/>
    <s v="SOUTH KOREA"/>
    <s v="BUSAN"/>
    <s v="APAC"/>
    <s v="TAIWAN"/>
    <s v="Kaohsiung"/>
    <x v="6"/>
    <s v="2-ETHYLHEXYL ACRYLATE"/>
    <s v="PORT TO PORT"/>
    <s v="ISO Tank - Standard"/>
    <s v="15"/>
    <s v="SOUTH KOREA"/>
    <x v="7"/>
    <n v="480"/>
    <m/>
    <n v="0"/>
    <n v="650"/>
    <n v="1130"/>
    <s v="Complete"/>
    <x v="5"/>
    <x v="7"/>
    <x v="0"/>
    <x v="0"/>
    <x v="0"/>
    <x v="0"/>
    <x v="0"/>
    <x v="0"/>
    <x v="0"/>
    <x v="0"/>
    <x v="0"/>
    <x v="0"/>
    <x v="0"/>
    <x v="0"/>
    <n v="0"/>
  </r>
  <r>
    <s v="CO0236"/>
    <s v="APAC"/>
    <s v="BUSAN"/>
    <s v="SOUTH KOREA"/>
    <s v="BUSAN"/>
    <s v="APAC"/>
    <s v="VIETNAM"/>
    <s v="HO CHI MINH, CAT LAI"/>
    <x v="7"/>
    <s v="SADARA BUTYL GLYCOL ETHERS"/>
    <s v="PORT TO PORT"/>
    <s v="ISO Tank - Standard"/>
    <s v="15"/>
    <s v="SOUTH KOREA"/>
    <x v="8"/>
    <n v="700"/>
    <m/>
    <n v="0"/>
    <n v="800"/>
    <n v="1500"/>
    <s v="Complete"/>
    <x v="2"/>
    <x v="8"/>
    <x v="0"/>
    <x v="0"/>
    <x v="0"/>
    <x v="0"/>
    <x v="0"/>
    <x v="0"/>
    <x v="0"/>
    <x v="0"/>
    <x v="0"/>
    <x v="0"/>
    <x v="0"/>
    <x v="0"/>
    <n v="0"/>
  </r>
  <r>
    <s v="CO0238"/>
    <s v="APAC"/>
    <s v="BUSAN"/>
    <s v="SOUTH KOREA"/>
    <s v="BUSAN"/>
    <s v="EMEAI"/>
    <s v="UNITED ARAB EMIRATES"/>
    <s v="Jebel Ali"/>
    <x v="8"/>
    <s v="HIGH TEMP FLUIDS"/>
    <s v="PORT TO PORT"/>
    <s v="ISO Tank - Standard"/>
    <s v="15"/>
    <s v="SOUTH KOREA"/>
    <x v="5"/>
    <n v="1550"/>
    <m/>
    <n v="0"/>
    <n v="825"/>
    <n v="2375"/>
    <s v="Complete"/>
    <x v="2"/>
    <x v="5"/>
    <x v="0"/>
    <x v="0"/>
    <x v="0"/>
    <x v="0"/>
    <x v="0"/>
    <x v="0"/>
    <x v="0"/>
    <x v="0"/>
    <x v="0"/>
    <x v="0"/>
    <x v="0"/>
    <x v="0"/>
    <n v="0"/>
  </r>
  <r>
    <s v="CO0252"/>
    <s v="APAC"/>
    <s v="ULSAN"/>
    <s v="SOUTH KOREA"/>
    <s v="ULSAN"/>
    <s v="APAC"/>
    <s v="VIETNAM"/>
    <s v="HAIPHONG"/>
    <x v="9"/>
    <s v="SADARA BUTYL GLYCOL ETHERS"/>
    <s v="PORT TO PORT"/>
    <s v="ISO Tank - Standard"/>
    <s v="15"/>
    <s v="SOUTH KOREA"/>
    <x v="2"/>
    <n v="700"/>
    <m/>
    <n v="0"/>
    <n v="900"/>
    <n v="1600"/>
    <s v="Complete"/>
    <x v="2"/>
    <x v="2"/>
    <x v="0"/>
    <x v="0"/>
    <x v="0"/>
    <x v="0"/>
    <x v="0"/>
    <x v="0"/>
    <x v="0"/>
    <x v="0"/>
    <x v="0"/>
    <x v="0"/>
    <x v="0"/>
    <x v="0"/>
    <n v="0"/>
  </r>
  <r>
    <s v="CO0294"/>
    <s v="APAC"/>
    <s v="LAEM CHABANG"/>
    <s v="THAILAND"/>
    <s v="LAEM CHABANG"/>
    <s v="APAC"/>
    <s v="AUSTRALIA"/>
    <s v="Adelaide"/>
    <x v="10"/>
    <s v="FLEXIBLES SLAB"/>
    <s v="PORT TO PORT"/>
    <s v="ISO Tank - Standard"/>
    <s v="15"/>
    <s v="THAILAND"/>
    <x v="5"/>
    <n v="1200"/>
    <m/>
    <n v="0"/>
    <n v="1770"/>
    <n v="2970"/>
    <s v="Complete"/>
    <x v="1"/>
    <x v="9"/>
    <x v="0"/>
    <x v="0"/>
    <x v="0"/>
    <x v="0"/>
    <x v="0"/>
    <x v="0"/>
    <x v="0"/>
    <x v="0"/>
    <x v="0"/>
    <x v="0"/>
    <x v="0"/>
    <x v="0"/>
    <n v="0"/>
  </r>
  <r>
    <s v="CO0296"/>
    <s v="APAC"/>
    <s v="LAEM CHABANG"/>
    <s v="THAILAND"/>
    <s v="LAEM CHABANG"/>
    <s v="APAC"/>
    <s v="AUSTRALIA"/>
    <s v="Brisbane"/>
    <x v="11"/>
    <s v="FLEXIBLES SLAB"/>
    <s v="PORT TO PORT"/>
    <s v="ISO Tank - Standard"/>
    <s v="15"/>
    <s v="THAILAND"/>
    <x v="9"/>
    <n v="1200"/>
    <m/>
    <n v="0"/>
    <n v="1470"/>
    <n v="2670"/>
    <s v="Complete"/>
    <x v="1"/>
    <x v="10"/>
    <x v="0"/>
    <x v="0"/>
    <x v="0"/>
    <x v="0"/>
    <x v="0"/>
    <x v="0"/>
    <x v="0"/>
    <x v="0"/>
    <x v="0"/>
    <x v="0"/>
    <x v="0"/>
    <x v="0"/>
    <n v="0"/>
  </r>
  <r>
    <s v="CO0299"/>
    <s v="APAC"/>
    <s v="LAEM CHABANG"/>
    <s v="THAILAND"/>
    <s v="LAEM CHABANG"/>
    <s v="APAC"/>
    <s v="AUSTRALIA"/>
    <s v="Melbourne"/>
    <x v="12"/>
    <s v="FLEXIBLES SLAB"/>
    <s v="PORT TO PORT"/>
    <s v="ISO Tank - Standard"/>
    <s v="15"/>
    <s v="THAILAND"/>
    <x v="10"/>
    <n v="1200"/>
    <m/>
    <n v="0"/>
    <n v="1670"/>
    <n v="2870"/>
    <s v="Complete"/>
    <x v="1"/>
    <x v="11"/>
    <x v="0"/>
    <x v="1"/>
    <x v="0"/>
    <x v="0"/>
    <x v="0"/>
    <x v="0"/>
    <x v="0"/>
    <x v="0"/>
    <x v="0"/>
    <x v="0"/>
    <x v="0"/>
    <x v="0"/>
    <n v="3"/>
  </r>
  <r>
    <s v="CO0302"/>
    <s v="APAC"/>
    <s v="LAEM CHABANG"/>
    <s v="THAILAND"/>
    <s v="LAEM CHABANG"/>
    <s v="APAC"/>
    <s v="AUSTRALIA"/>
    <s v="Sydney"/>
    <x v="13"/>
    <s v="FLEXIBLES SLAB"/>
    <s v="PORT TO PORT"/>
    <s v="ISO Tank - Standard"/>
    <s v="15"/>
    <s v="THAILAND"/>
    <x v="3"/>
    <n v="1200"/>
    <m/>
    <n v="0"/>
    <n v="1570"/>
    <n v="2770"/>
    <s v="Complete"/>
    <x v="1"/>
    <x v="12"/>
    <x v="1"/>
    <x v="2"/>
    <x v="0"/>
    <x v="0"/>
    <x v="0"/>
    <x v="1"/>
    <x v="0"/>
    <x v="0"/>
    <x v="0"/>
    <x v="0"/>
    <x v="0"/>
    <x v="0"/>
    <n v="13"/>
  </r>
  <r>
    <s v="CO0339"/>
    <s v="APAC"/>
    <s v="LAEM CHABANG"/>
    <s v="THAILAND"/>
    <s v="LAEM CHABANG"/>
    <s v="APAC"/>
    <s v="INDONESIA"/>
    <s v="Jakarta"/>
    <x v="14"/>
    <s v="FLEXIBLES SLAB"/>
    <s v="PORT TO PORT"/>
    <s v="ISO Tank - Standard"/>
    <s v="15"/>
    <s v="THAILAND"/>
    <x v="11"/>
    <n v="250"/>
    <m/>
    <n v="0"/>
    <n v="550"/>
    <n v="800"/>
    <s v="Complete"/>
    <x v="3"/>
    <x v="13"/>
    <x v="0"/>
    <x v="0"/>
    <x v="1"/>
    <x v="0"/>
    <x v="0"/>
    <x v="0"/>
    <x v="0"/>
    <x v="0"/>
    <x v="0"/>
    <x v="1"/>
    <x v="1"/>
    <x v="1"/>
    <n v="45"/>
  </r>
  <r>
    <s v="CO0349"/>
    <s v="APAC"/>
    <s v="LAEM CHABANG"/>
    <s v="THAILAND"/>
    <s v="LAEM CHABANG"/>
    <s v="APAC"/>
    <s v="MALAYSIA"/>
    <s v="PASIR GUDANG"/>
    <x v="15"/>
    <s v="AA ARCHITECTURAL"/>
    <s v="PORT TO PORT"/>
    <s v="ISO Tank - Standard"/>
    <s v="15"/>
    <s v="THAILAND"/>
    <x v="12"/>
    <n v="360"/>
    <m/>
    <n v="0"/>
    <n v="770"/>
    <n v="1130"/>
    <s v="Complete"/>
    <x v="5"/>
    <x v="5"/>
    <x v="2"/>
    <x v="3"/>
    <x v="2"/>
    <x v="1"/>
    <x v="1"/>
    <x v="1"/>
    <x v="1"/>
    <x v="1"/>
    <x v="0"/>
    <x v="2"/>
    <x v="2"/>
    <x v="2"/>
    <n v="51"/>
  </r>
  <r>
    <s v="CO0357"/>
    <s v="APAC"/>
    <s v="LAEM CHABANG"/>
    <s v="THAILAND"/>
    <s v="LAEM CHABANG"/>
    <s v="APAC"/>
    <s v="NEW ZEALAND"/>
    <s v="AUCKLAND"/>
    <x v="16"/>
    <s v="FLEXIBLES SLAB"/>
    <s v="PORT TO PORT"/>
    <s v="ISO Tank - Standard"/>
    <s v="15"/>
    <s v="THAILAND"/>
    <x v="13"/>
    <n v="1350"/>
    <m/>
    <n v="0"/>
    <n v="1470"/>
    <n v="2820"/>
    <s v="Complete"/>
    <x v="2"/>
    <x v="14"/>
    <x v="3"/>
    <x v="2"/>
    <x v="3"/>
    <x v="2"/>
    <x v="2"/>
    <x v="2"/>
    <x v="2"/>
    <x v="2"/>
    <x v="1"/>
    <x v="3"/>
    <x v="0"/>
    <x v="3"/>
    <n v="64"/>
  </r>
  <r>
    <s v="CO0358"/>
    <s v="APAC"/>
    <s v="LAEM CHABANG"/>
    <s v="THAILAND"/>
    <s v="LAEM CHABANG"/>
    <s v="APAC"/>
    <s v="NEW ZEALAND"/>
    <s v="WELLINGTON"/>
    <x v="17"/>
    <s v="PGI"/>
    <s v="PORT TO PORT"/>
    <s v="ISO Tank - Standard"/>
    <s v="15"/>
    <s v="THAILAND"/>
    <x v="14"/>
    <n v="1350"/>
    <m/>
    <n v="0"/>
    <n v="2370"/>
    <n v="3720"/>
    <s v="Complete"/>
    <x v="2"/>
    <x v="15"/>
    <x v="2"/>
    <x v="0"/>
    <x v="4"/>
    <x v="0"/>
    <x v="0"/>
    <x v="3"/>
    <x v="3"/>
    <x v="3"/>
    <x v="2"/>
    <x v="4"/>
    <x v="3"/>
    <x v="4"/>
    <n v="12"/>
  </r>
  <r>
    <s v="CO0386"/>
    <s v="APAC"/>
    <s v="LAEM CHABANG"/>
    <s v="THAILAND"/>
    <s v="LAEM CHABANG"/>
    <s v="APAC"/>
    <s v="VIETNAM"/>
    <s v="HO CHI MINH, CAT LAI"/>
    <x v="7"/>
    <s v="AA ARCHITECTURAL"/>
    <s v="PORT TO PORT"/>
    <s v="ISO Tank - Standard"/>
    <s v="15"/>
    <s v="THAILAND"/>
    <x v="5"/>
    <n v="190"/>
    <m/>
    <n v="0"/>
    <n v="820"/>
    <n v="1010"/>
    <s v="Complete"/>
    <x v="2"/>
    <x v="5"/>
    <x v="4"/>
    <x v="4"/>
    <x v="5"/>
    <x v="0"/>
    <x v="0"/>
    <x v="4"/>
    <x v="4"/>
    <x v="0"/>
    <x v="0"/>
    <x v="5"/>
    <x v="4"/>
    <x v="5"/>
    <n v="53"/>
  </r>
  <r>
    <s v="CO0388"/>
    <s v="APAC"/>
    <s v="LAEM CHABANG"/>
    <s v="THAILAND"/>
    <s v="LAEM CHABANG"/>
    <s v="APAC"/>
    <s v="VIETNAM"/>
    <s v="HO CHI MINH, CAT LAI"/>
    <x v="7"/>
    <s v="FLEXIBLES SLAB"/>
    <s v="PORT TO PORT"/>
    <s v="ISO Tank - Standard"/>
    <s v="15"/>
    <s v="THAILAND"/>
    <x v="15"/>
    <n v="190"/>
    <m/>
    <n v="0"/>
    <n v="820"/>
    <n v="1010"/>
    <s v="Complete"/>
    <x v="3"/>
    <x v="16"/>
    <x v="0"/>
    <x v="0"/>
    <x v="0"/>
    <x v="0"/>
    <x v="1"/>
    <x v="0"/>
    <x v="0"/>
    <x v="4"/>
    <x v="3"/>
    <x v="0"/>
    <x v="0"/>
    <x v="0"/>
    <n v="21"/>
  </r>
  <r>
    <s v="CO0400"/>
    <s v="APAC"/>
    <s v="LAEM CHABANG"/>
    <s v="THAILAND"/>
    <s v="LAEM CHABANG"/>
    <s v="EMEAI"/>
    <s v="INDIA"/>
    <s v="Nhava Sheva"/>
    <x v="18"/>
    <s v="CASE-POLYOLS"/>
    <s v="PORT TO PORT"/>
    <s v="ISO Tank - Standard"/>
    <s v="15"/>
    <s v="THAILAND"/>
    <x v="3"/>
    <n v="1075"/>
    <m/>
    <n v="0"/>
    <n v="775"/>
    <n v="1850"/>
    <s v="Complete"/>
    <x v="5"/>
    <x v="17"/>
    <x v="5"/>
    <x v="5"/>
    <x v="6"/>
    <x v="3"/>
    <x v="3"/>
    <x v="5"/>
    <x v="1"/>
    <x v="5"/>
    <x v="4"/>
    <x v="6"/>
    <x v="5"/>
    <x v="6"/>
    <n v="156"/>
  </r>
  <r>
    <s v="CO0401"/>
    <s v="APAC"/>
    <s v="LAEM CHABANG"/>
    <s v="THAILAND"/>
    <s v="LAEM CHABANG"/>
    <s v="EMEAI"/>
    <s v="INDIA"/>
    <s v="Nhava Sheva"/>
    <x v="18"/>
    <s v="DOMESTIC APPLIANCE"/>
    <s v="PORT TO PORT"/>
    <s v="ISO Tank - Standard"/>
    <s v="15"/>
    <s v="THAILAND"/>
    <x v="16"/>
    <n v="1075"/>
    <m/>
    <n v="0"/>
    <n v="775"/>
    <n v="1850"/>
    <s v="Complete"/>
    <x v="1"/>
    <x v="18"/>
    <x v="6"/>
    <x v="6"/>
    <x v="7"/>
    <x v="4"/>
    <x v="4"/>
    <x v="6"/>
    <x v="5"/>
    <x v="6"/>
    <x v="5"/>
    <x v="7"/>
    <x v="6"/>
    <x v="7"/>
    <n v="171"/>
  </r>
  <r>
    <s v="CO0403"/>
    <s v="APAC"/>
    <s v="LAEM CHABANG"/>
    <s v="THAILAND"/>
    <s v="LAEM CHABANG"/>
    <s v="EMEAI"/>
    <s v="INDIA"/>
    <s v="Nhava Sheva"/>
    <x v="18"/>
    <s v="FLEXIBLES SLAB"/>
    <s v="PORT TO PORT"/>
    <s v="ISO Tank - Standard"/>
    <s v="15"/>
    <s v="THAILAND"/>
    <x v="17"/>
    <n v="1075"/>
    <m/>
    <n v="0"/>
    <n v="775"/>
    <n v="1850"/>
    <s v="Complete"/>
    <x v="5"/>
    <x v="19"/>
    <x v="0"/>
    <x v="0"/>
    <x v="0"/>
    <x v="0"/>
    <x v="5"/>
    <x v="0"/>
    <x v="6"/>
    <x v="0"/>
    <x v="1"/>
    <x v="0"/>
    <x v="0"/>
    <x v="0"/>
    <n v="34"/>
  </r>
  <r>
    <s v="CO0405"/>
    <s v="APAC"/>
    <s v="LAEM CHABANG"/>
    <s v="THAILAND"/>
    <s v="LAEM CHABANG"/>
    <s v="EMEAI"/>
    <s v="INDIA"/>
    <s v="Nhava Sheva"/>
    <x v="18"/>
    <s v="RIGIDS"/>
    <s v="PORT TO PORT"/>
    <s v="ISO Tank - Standard"/>
    <s v="15"/>
    <s v="THAILAND"/>
    <x v="18"/>
    <n v="1075"/>
    <m/>
    <n v="0"/>
    <n v="775"/>
    <n v="1850"/>
    <s v="Complete"/>
    <x v="5"/>
    <x v="20"/>
    <x v="0"/>
    <x v="7"/>
    <x v="8"/>
    <x v="5"/>
    <x v="6"/>
    <x v="7"/>
    <x v="7"/>
    <x v="7"/>
    <x v="6"/>
    <x v="0"/>
    <x v="7"/>
    <x v="8"/>
    <n v="190"/>
  </r>
  <r>
    <s v="CO0406"/>
    <s v="APAC"/>
    <s v="LAEM CHABANG"/>
    <s v="THAILAND"/>
    <s v="LAEM CHABANG"/>
    <s v="EMEAI"/>
    <s v="INDIA"/>
    <s v="PIPAVAV"/>
    <x v="19"/>
    <s v="DOMESTIC APPLIANCE"/>
    <s v="PORT TO PORT"/>
    <s v="ISO Tank - Standard"/>
    <s v="15"/>
    <s v="THAILAND"/>
    <x v="19"/>
    <n v="1025"/>
    <m/>
    <n v="0"/>
    <n v="1070"/>
    <n v="2095"/>
    <s v="Complete"/>
    <x v="5"/>
    <x v="21"/>
    <x v="1"/>
    <x v="8"/>
    <x v="5"/>
    <x v="5"/>
    <x v="2"/>
    <x v="8"/>
    <x v="8"/>
    <x v="4"/>
    <x v="7"/>
    <x v="8"/>
    <x v="8"/>
    <x v="9"/>
    <n v="125"/>
  </r>
  <r>
    <s v="CO0407"/>
    <s v="APAC"/>
    <s v="LAEM CHABANG"/>
    <s v="THAILAND"/>
    <s v="LAEM CHABANG"/>
    <s v="EMEAI"/>
    <s v="INDIA"/>
    <s v="PIPAVAV"/>
    <x v="19"/>
    <s v="FLEXIBLES SLAB"/>
    <s v="PORT TO PORT"/>
    <s v="ISO Tank - Standard"/>
    <s v="15"/>
    <s v="THAILAND"/>
    <x v="20"/>
    <n v="1025"/>
    <m/>
    <n v="0"/>
    <n v="1070"/>
    <n v="2095"/>
    <s v="Complete"/>
    <x v="5"/>
    <x v="22"/>
    <x v="4"/>
    <x v="4"/>
    <x v="5"/>
    <x v="0"/>
    <x v="3"/>
    <x v="0"/>
    <x v="4"/>
    <x v="8"/>
    <x v="5"/>
    <x v="9"/>
    <x v="4"/>
    <x v="9"/>
    <n v="65"/>
  </r>
  <r>
    <s v="CO1063"/>
    <s v="SADARA"/>
    <s v="JUBAIL"/>
    <s v="SAUDI ARABIA"/>
    <s v="JUBAIL"/>
    <s v="APAC"/>
    <s v="CHINA"/>
    <s v="Dongguan"/>
    <x v="20"/>
    <s v="SADARA FLEXIBLES MOLDED"/>
    <s v="PORT TO PORT"/>
    <s v="ISO Tank - Standard"/>
    <s v="15"/>
    <s v="SAUDI ARABIA"/>
    <x v="21"/>
    <n v="550"/>
    <m/>
    <n v="0"/>
    <n v="1750"/>
    <n v="2300"/>
    <s v="Complete"/>
    <x v="6"/>
    <x v="23"/>
    <x v="0"/>
    <x v="0"/>
    <x v="0"/>
    <x v="0"/>
    <x v="0"/>
    <x v="0"/>
    <x v="0"/>
    <x v="0"/>
    <x v="0"/>
    <x v="0"/>
    <x v="0"/>
    <x v="0"/>
    <n v="0"/>
  </r>
  <r>
    <s v="CO1064"/>
    <s v="SADARA"/>
    <s v="JUBAIL"/>
    <s v="SAUDI ARABIA"/>
    <s v="JUBAIL"/>
    <s v="APAC"/>
    <s v="CHINA"/>
    <s v="Dongguan"/>
    <x v="20"/>
    <s v="SADARA TPG"/>
    <s v="PORT TO PORT"/>
    <s v="ISO Tank - Standard"/>
    <s v="15"/>
    <s v="SAUDI ARABIA"/>
    <x v="4"/>
    <n v="550"/>
    <m/>
    <n v="0"/>
    <n v="1750"/>
    <n v="2300"/>
    <s v="Complete"/>
    <x v="6"/>
    <x v="2"/>
    <x v="0"/>
    <x v="0"/>
    <x v="0"/>
    <x v="0"/>
    <x v="0"/>
    <x v="0"/>
    <x v="0"/>
    <x v="0"/>
    <x v="0"/>
    <x v="0"/>
    <x v="0"/>
    <x v="0"/>
    <n v="0"/>
  </r>
  <r>
    <s v="CO1065"/>
    <s v="SADARA"/>
    <s v="JUBAIL"/>
    <s v="SAUDI ARABIA"/>
    <s v="JUBAIL"/>
    <s v="APAC"/>
    <s v="CHINA"/>
    <s v="DONGGUAN, SHATIAN"/>
    <x v="21"/>
    <s v="SADARA FLEXIBLES MOLDED"/>
    <s v="PORT TO PORT"/>
    <s v="ISO Tank - Standard"/>
    <s v="15"/>
    <s v="SAUDI ARABIA"/>
    <x v="22"/>
    <n v="550"/>
    <m/>
    <n v="0"/>
    <n v="1750"/>
    <n v="2300"/>
    <s v="Complete"/>
    <x v="6"/>
    <x v="24"/>
    <x v="0"/>
    <x v="0"/>
    <x v="0"/>
    <x v="0"/>
    <x v="0"/>
    <x v="0"/>
    <x v="0"/>
    <x v="0"/>
    <x v="0"/>
    <x v="0"/>
    <x v="0"/>
    <x v="0"/>
    <n v="0"/>
  </r>
  <r>
    <s v="CO1066"/>
    <s v="SADARA"/>
    <s v="JUBAIL"/>
    <s v="SAUDI ARABIA"/>
    <s v="JUBAIL"/>
    <s v="APAC"/>
    <s v="CHINA"/>
    <s v="DONGGUAN, SHATIAN"/>
    <x v="21"/>
    <s v="SADARA TPG"/>
    <s v="PORT TO PORT"/>
    <s v="ISO Tank - Standard"/>
    <s v="15"/>
    <s v="SAUDI ARABIA"/>
    <x v="5"/>
    <n v="550"/>
    <m/>
    <n v="0"/>
    <n v="1750"/>
    <n v="2300"/>
    <s v="Complete"/>
    <x v="6"/>
    <x v="25"/>
    <x v="0"/>
    <x v="0"/>
    <x v="0"/>
    <x v="0"/>
    <x v="0"/>
    <x v="0"/>
    <x v="0"/>
    <x v="0"/>
    <x v="0"/>
    <x v="0"/>
    <x v="0"/>
    <x v="0"/>
    <n v="0"/>
  </r>
  <r>
    <s v="APA014"/>
    <s v="APAC"/>
    <s v="LAEM CHABANG"/>
    <s v="THAILAND"/>
    <s v="LAEM CHABANG"/>
    <s v="EMEAI"/>
    <s v="INDIA"/>
    <s v="ICD DADRI VIA NHAVA SHEVA"/>
    <x v="22"/>
    <s v="FLEXIBLES SLAB"/>
    <s v="PORT TO PORT"/>
    <s v="ISO Tank - Standard"/>
    <n v="15"/>
    <s v="THAILAND"/>
    <x v="1"/>
    <n v="1450"/>
    <n v="1775"/>
    <n v="350"/>
    <n v="975"/>
    <n v="4200"/>
    <s v="Supplementary "/>
    <x v="1"/>
    <x v="1"/>
    <x v="0"/>
    <x v="0"/>
    <x v="0"/>
    <x v="0"/>
    <x v="0"/>
    <x v="0"/>
    <x v="0"/>
    <x v="0"/>
    <x v="0"/>
    <x v="0"/>
    <x v="0"/>
    <x v="0"/>
    <n v="1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69FA3-533D-45DB-AB5B-9B393DA5A120}" name="PivotTable1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H39" firstHeaderRow="1" firstDataRow="13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0"/>
        <item x="16"/>
        <item x="11"/>
        <item x="20"/>
        <item x="21"/>
        <item x="9"/>
        <item x="7"/>
        <item x="22"/>
        <item x="14"/>
        <item x="8"/>
        <item x="6"/>
        <item x="5"/>
        <item x="12"/>
        <item x="3"/>
        <item x="1"/>
        <item x="2"/>
        <item x="18"/>
        <item x="15"/>
        <item x="19"/>
        <item x="13"/>
        <item x="17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24">
        <item x="2"/>
        <item x="4"/>
        <item x="8"/>
        <item x="5"/>
        <item x="14"/>
        <item x="9"/>
        <item x="12"/>
        <item x="10"/>
        <item x="20"/>
        <item x="15"/>
        <item x="21"/>
        <item x="22"/>
        <item x="7"/>
        <item x="13"/>
        <item x="1"/>
        <item x="19"/>
        <item x="3"/>
        <item x="17"/>
        <item x="6"/>
        <item x="18"/>
        <item x="16"/>
        <item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6"/>
        <item x="3"/>
        <item x="4"/>
        <item x="1"/>
        <item x="5"/>
        <item x="2"/>
        <item x="0"/>
        <item t="default"/>
      </items>
    </pivotField>
    <pivotField showAll="0">
      <items count="27">
        <item x="25"/>
        <item x="2"/>
        <item x="4"/>
        <item x="23"/>
        <item x="24"/>
        <item x="9"/>
        <item x="10"/>
        <item x="8"/>
        <item x="16"/>
        <item x="11"/>
        <item x="5"/>
        <item x="15"/>
        <item x="22"/>
        <item x="3"/>
        <item x="7"/>
        <item x="1"/>
        <item x="12"/>
        <item x="6"/>
        <item x="21"/>
        <item x="17"/>
        <item x="13"/>
        <item x="19"/>
        <item x="14"/>
        <item x="18"/>
        <item x="20"/>
        <item x="0"/>
        <item t="default"/>
      </items>
    </pivotField>
    <pivotField axis="axisCol" showAll="0">
      <items count="8">
        <item x="2"/>
        <item x="3"/>
        <item x="1"/>
        <item x="4"/>
        <item x="6"/>
        <item x="5"/>
        <item x="0"/>
        <item t="default"/>
      </items>
    </pivotField>
    <pivotField axis="axisCol" showAll="0">
      <items count="10">
        <item x="3"/>
        <item x="4"/>
        <item x="1"/>
        <item x="7"/>
        <item x="2"/>
        <item x="8"/>
        <item x="5"/>
        <item x="6"/>
        <item x="0"/>
        <item t="default"/>
      </items>
    </pivotField>
    <pivotField axis="axisCol" showAll="0">
      <items count="10">
        <item x="4"/>
        <item x="5"/>
        <item x="2"/>
        <item x="1"/>
        <item x="7"/>
        <item x="8"/>
        <item x="6"/>
        <item x="3"/>
        <item x="0"/>
        <item t="default"/>
      </items>
    </pivotField>
    <pivotField axis="axisCol" showAll="0">
      <items count="7">
        <item x="4"/>
        <item x="1"/>
        <item x="5"/>
        <item x="2"/>
        <item x="3"/>
        <item x="0"/>
        <item t="default"/>
      </items>
    </pivotField>
    <pivotField axis="axisCol" showAll="0">
      <items count="8">
        <item x="2"/>
        <item x="3"/>
        <item x="1"/>
        <item x="5"/>
        <item x="4"/>
        <item x="6"/>
        <item x="0"/>
        <item t="default"/>
      </items>
    </pivotField>
    <pivotField axis="axisCol" showAll="0">
      <items count="10">
        <item x="3"/>
        <item x="2"/>
        <item x="1"/>
        <item x="4"/>
        <item x="6"/>
        <item x="7"/>
        <item x="5"/>
        <item x="8"/>
        <item x="0"/>
        <item t="default"/>
      </items>
    </pivotField>
    <pivotField axis="axisCol" showAll="0">
      <items count="10">
        <item x="3"/>
        <item x="1"/>
        <item x="2"/>
        <item x="4"/>
        <item x="6"/>
        <item x="8"/>
        <item x="5"/>
        <item x="7"/>
        <item x="0"/>
        <item t="default"/>
      </items>
    </pivotField>
    <pivotField axis="axisCol" showAll="0">
      <items count="10">
        <item x="3"/>
        <item x="2"/>
        <item x="1"/>
        <item x="4"/>
        <item x="8"/>
        <item x="6"/>
        <item x="5"/>
        <item x="7"/>
        <item x="0"/>
        <item t="default"/>
      </items>
    </pivotField>
    <pivotField axis="axisCol" showAll="0">
      <items count="9">
        <item x="2"/>
        <item x="4"/>
        <item x="3"/>
        <item x="5"/>
        <item x="1"/>
        <item x="7"/>
        <item x="6"/>
        <item x="0"/>
        <item t="default"/>
      </items>
    </pivotField>
    <pivotField axis="axisCol" showAll="0">
      <items count="11">
        <item x="4"/>
        <item x="3"/>
        <item x="2"/>
        <item x="5"/>
        <item x="1"/>
        <item x="9"/>
        <item x="8"/>
        <item x="6"/>
        <item x="7"/>
        <item x="0"/>
        <item t="default"/>
      </items>
    </pivotField>
    <pivotField axis="axisCol" showAll="0">
      <items count="10">
        <item x="3"/>
        <item x="2"/>
        <item x="4"/>
        <item x="6"/>
        <item x="1"/>
        <item x="7"/>
        <item x="5"/>
        <item x="8"/>
        <item x="0"/>
        <item t="default"/>
      </items>
    </pivotField>
    <pivotField axis="axisCol" showAll="0">
      <items count="11">
        <item x="4"/>
        <item x="9"/>
        <item x="7"/>
        <item x="2"/>
        <item x="5"/>
        <item x="3"/>
        <item x="1"/>
        <item x="8"/>
        <item x="6"/>
        <item x="0"/>
        <item t="default"/>
      </items>
    </pivotField>
    <pivotField dataField="1" showAll="0"/>
  </pivotFields>
  <rowFields count="1">
    <field x="8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2">
    <field x="23"/>
    <field x="24"/>
    <field x="25"/>
    <field x="26"/>
    <field x="27"/>
    <field x="28"/>
    <field x="29"/>
    <field x="30"/>
    <field x="31"/>
    <field x="32"/>
    <field x="33"/>
    <field x="34"/>
  </colFields>
  <colItems count="163">
    <i>
      <x/>
      <x/>
      <x v="2"/>
      <x v="1"/>
      <x v="2"/>
      <x v="2"/>
      <x v="1"/>
      <x v="2"/>
      <x v="7"/>
      <x v="2"/>
      <x v="1"/>
      <x v="3"/>
    </i>
    <i t="default" r="10">
      <x v="1"/>
    </i>
    <i t="default" r="9">
      <x v="2"/>
    </i>
    <i t="default" r="8">
      <x v="7"/>
    </i>
    <i t="default" r="7">
      <x v="2"/>
    </i>
    <i t="default" r="6">
      <x v="1"/>
    </i>
    <i t="default" r="5">
      <x v="2"/>
    </i>
    <i t="default" r="4">
      <x v="2"/>
    </i>
    <i t="default" r="3">
      <x v="1"/>
    </i>
    <i t="default" r="2">
      <x v="2"/>
    </i>
    <i t="default" r="1">
      <x/>
    </i>
    <i r="1">
      <x v="8"/>
      <x/>
      <x v="5"/>
      <x v="6"/>
      <x/>
      <x/>
      <x/>
      <x/>
      <x/>
      <x/>
      <x/>
    </i>
    <i t="default" r="10">
      <x/>
    </i>
    <i t="default" r="9">
      <x/>
    </i>
    <i t="default" r="8">
      <x/>
    </i>
    <i t="default" r="7">
      <x/>
    </i>
    <i t="default" r="6">
      <x/>
    </i>
    <i t="default" r="5">
      <x/>
    </i>
    <i t="default" r="4">
      <x v="6"/>
    </i>
    <i t="default" r="3">
      <x v="5"/>
    </i>
    <i t="default" r="2">
      <x/>
    </i>
    <i t="default" r="1">
      <x v="8"/>
    </i>
    <i t="default">
      <x/>
    </i>
    <i>
      <x v="1"/>
      <x v="4"/>
      <x v="7"/>
      <x v="3"/>
      <x/>
      <x v="1"/>
      <x v="2"/>
      <x v="1"/>
      <x v="4"/>
      <x v="1"/>
      <x v="8"/>
      <x v="5"/>
    </i>
    <i t="default" r="10">
      <x v="8"/>
    </i>
    <i t="default" r="9">
      <x v="1"/>
    </i>
    <i t="default" r="8">
      <x v="4"/>
    </i>
    <i t="default" r="7">
      <x v="1"/>
    </i>
    <i t="default" r="6">
      <x v="2"/>
    </i>
    <i t="default" r="5">
      <x v="1"/>
    </i>
    <i t="default" r="4">
      <x/>
    </i>
    <i t="default" r="3">
      <x v="3"/>
    </i>
    <i t="default" r="2">
      <x v="7"/>
    </i>
    <i t="default" r="1">
      <x v="4"/>
    </i>
    <i t="default">
      <x v="1"/>
    </i>
    <i>
      <x v="2"/>
      <x v="4"/>
      <x v="8"/>
      <x v="5"/>
      <x v="6"/>
      <x v="2"/>
      <x v="8"/>
      <x v="8"/>
      <x v="7"/>
      <x v="9"/>
      <x v="8"/>
      <x v="9"/>
    </i>
    <i t="default" r="10">
      <x v="8"/>
    </i>
    <i t="default" r="9">
      <x v="9"/>
    </i>
    <i t="default" r="8">
      <x v="7"/>
    </i>
    <i t="default" r="7">
      <x v="8"/>
    </i>
    <i t="default" r="6">
      <x v="8"/>
    </i>
    <i t="default" r="5">
      <x v="2"/>
    </i>
    <i t="default" r="4">
      <x v="6"/>
    </i>
    <i t="default" r="3">
      <x v="5"/>
    </i>
    <i t="default" r="2">
      <x v="8"/>
    </i>
    <i t="default" r="1">
      <x v="4"/>
    </i>
    <i r="1">
      <x v="5"/>
      <x v="1"/>
      <x v="2"/>
      <x/>
      <x v="7"/>
      <x v="5"/>
      <x v="3"/>
      <x v="5"/>
      <x v="6"/>
      <x v="7"/>
      <x v="1"/>
    </i>
    <i t="default" r="10">
      <x v="7"/>
    </i>
    <i t="default" r="9">
      <x v="6"/>
    </i>
    <i t="default" r="8">
      <x v="5"/>
    </i>
    <i t="default" r="7">
      <x v="3"/>
    </i>
    <i t="default" r="6">
      <x v="5"/>
    </i>
    <i t="default" r="5">
      <x v="7"/>
    </i>
    <i t="default" r="4">
      <x/>
    </i>
    <i t="default" r="3">
      <x v="2"/>
    </i>
    <i t="default" r="2">
      <x v="1"/>
    </i>
    <i t="default" r="1">
      <x v="5"/>
    </i>
    <i t="default">
      <x v="2"/>
    </i>
    <i>
      <x v="3"/>
      <x v="1"/>
      <x v="1"/>
      <x v="5"/>
      <x v="1"/>
      <x v="8"/>
      <x v="3"/>
      <x v="4"/>
      <x v="3"/>
      <x v="5"/>
      <x v="2"/>
      <x v="1"/>
    </i>
    <i t="default" r="10">
      <x v="2"/>
    </i>
    <i t="default" r="9">
      <x v="5"/>
    </i>
    <i t="default" r="8">
      <x v="3"/>
    </i>
    <i t="default" r="7">
      <x v="4"/>
    </i>
    <i t="default" r="6">
      <x v="3"/>
    </i>
    <i t="default" r="5">
      <x v="8"/>
    </i>
    <i t="default" r="4">
      <x v="1"/>
    </i>
    <i r="4">
      <x v="6"/>
      <x v="3"/>
      <x v="3"/>
      <x v="8"/>
      <x v="7"/>
      <x v="3"/>
      <x v="2"/>
      <x v="4"/>
    </i>
    <i t="default" r="10">
      <x v="2"/>
    </i>
    <i t="default" r="9">
      <x v="3"/>
    </i>
    <i t="default" r="8">
      <x v="7"/>
    </i>
    <i t="default" r="7">
      <x v="8"/>
    </i>
    <i t="default" r="6">
      <x v="3"/>
    </i>
    <i t="default" r="5">
      <x v="3"/>
    </i>
    <i t="default" r="4">
      <x v="6"/>
    </i>
    <i t="default" r="3">
      <x v="5"/>
    </i>
    <i t="default" r="2">
      <x v="1"/>
    </i>
    <i t="default" r="1">
      <x v="1"/>
    </i>
    <i t="default">
      <x v="3"/>
    </i>
    <i>
      <x v="4"/>
      <x v="7"/>
      <x v="4"/>
      <x/>
      <x v="4"/>
      <x v="4"/>
      <x v="6"/>
      <x v="5"/>
      <x v="3"/>
      <x v="8"/>
      <x v="3"/>
      <x v="2"/>
    </i>
    <i t="default" r="10">
      <x v="3"/>
    </i>
    <i t="default" r="9">
      <x v="8"/>
    </i>
    <i t="default" r="8">
      <x v="3"/>
    </i>
    <i t="default" r="7">
      <x v="5"/>
    </i>
    <i t="default" r="6">
      <x v="6"/>
    </i>
    <i t="default" r="5">
      <x v="4"/>
    </i>
    <i t="default" r="4">
      <x v="4"/>
    </i>
    <i t="default" r="3">
      <x/>
    </i>
    <i t="default" r="2">
      <x v="4"/>
    </i>
    <i t="default" r="1">
      <x v="7"/>
    </i>
    <i t="default">
      <x v="4"/>
    </i>
    <i>
      <x v="5"/>
      <x v="6"/>
      <x v="6"/>
      <x v="4"/>
      <x v="1"/>
      <x v="6"/>
      <x v="1"/>
      <x v="6"/>
      <x v="1"/>
      <x v="7"/>
      <x v="6"/>
      <x v="8"/>
    </i>
    <i t="default" r="10">
      <x v="6"/>
    </i>
    <i t="default" r="9">
      <x v="7"/>
    </i>
    <i t="default" r="8">
      <x v="1"/>
    </i>
    <i t="default" r="7">
      <x v="6"/>
    </i>
    <i t="default" r="6">
      <x v="1"/>
    </i>
    <i t="default" r="5">
      <x v="6"/>
    </i>
    <i t="default" r="4">
      <x v="1"/>
    </i>
    <i t="default" r="3">
      <x v="4"/>
    </i>
    <i t="default" r="2">
      <x v="6"/>
    </i>
    <i t="default" r="1">
      <x v="6"/>
    </i>
    <i t="default">
      <x v="5"/>
    </i>
    <i>
      <x v="6"/>
      <x v="2"/>
      <x v="8"/>
      <x v="5"/>
      <x v="6"/>
      <x v="8"/>
      <x v="8"/>
      <x v="8"/>
      <x v="7"/>
      <x v="9"/>
      <x v="8"/>
      <x v="9"/>
    </i>
    <i t="default" r="10">
      <x v="8"/>
    </i>
    <i t="default" r="9">
      <x v="9"/>
    </i>
    <i t="default" r="8">
      <x v="7"/>
    </i>
    <i t="default" r="7">
      <x v="8"/>
    </i>
    <i t="default" r="6">
      <x v="8"/>
    </i>
    <i t="default" r="5">
      <x v="8"/>
    </i>
    <i t="default" r="4">
      <x v="6"/>
    </i>
    <i t="default" r="3">
      <x v="5"/>
    </i>
    <i t="default" r="2">
      <x v="8"/>
    </i>
    <i t="default" r="1">
      <x v="2"/>
    </i>
    <i r="1">
      <x v="3"/>
      <x v="5"/>
      <x v="2"/>
      <x v="5"/>
      <x v="5"/>
      <x v="7"/>
      <x v="7"/>
      <x v="6"/>
      <x v="9"/>
      <x v="5"/>
      <x v="7"/>
    </i>
    <i t="default" r="10">
      <x v="5"/>
    </i>
    <i t="default" r="9">
      <x v="9"/>
    </i>
    <i t="default" r="8">
      <x v="6"/>
    </i>
    <i t="default" r="7">
      <x v="7"/>
    </i>
    <i t="default" r="6">
      <x v="7"/>
    </i>
    <i t="default" r="5">
      <x v="5"/>
    </i>
    <i t="default" r="4">
      <x v="5"/>
    </i>
    <i t="default" r="3">
      <x v="2"/>
    </i>
    <i t="default" r="2">
      <x v="5"/>
    </i>
    <i t="default" r="1">
      <x v="3"/>
    </i>
    <i r="1">
      <x v="8"/>
      <x v="3"/>
      <x v="5"/>
      <x v="6"/>
      <x v="8"/>
      <x v="8"/>
      <x v="8"/>
      <x v="7"/>
      <x v="4"/>
      <x v="4"/>
      <x v="6"/>
    </i>
    <i t="default" r="10">
      <x v="4"/>
    </i>
    <i t="default" r="9">
      <x v="4"/>
    </i>
    <i t="default" r="8">
      <x v="7"/>
    </i>
    <i t="default" r="7">
      <x v="8"/>
    </i>
    <i t="default" r="6">
      <x v="8"/>
    </i>
    <i t="default" r="5">
      <x v="8"/>
    </i>
    <i t="default" r="4">
      <x v="6"/>
    </i>
    <i t="default" r="3">
      <x v="5"/>
    </i>
    <i t="default" r="2">
      <x v="3"/>
    </i>
    <i r="2">
      <x v="8"/>
      <x v="5"/>
      <x v="2"/>
      <x v="8"/>
      <x v="8"/>
      <x v="3"/>
      <x v="2"/>
      <x v="9"/>
      <x v="8"/>
      <x v="9"/>
    </i>
    <i t="default" r="10">
      <x v="8"/>
    </i>
    <i t="default" r="9">
      <x v="9"/>
    </i>
    <i t="default" r="8">
      <x v="2"/>
    </i>
    <i t="default" r="7">
      <x v="3"/>
    </i>
    <i t="default" r="6">
      <x v="8"/>
    </i>
    <i t="default" r="5">
      <x v="8"/>
    </i>
    <i t="default" r="4">
      <x v="2"/>
    </i>
    <i r="4">
      <x v="3"/>
      <x v="8"/>
      <x v="4"/>
      <x v="8"/>
      <x v="4"/>
      <x v="9"/>
      <x v="8"/>
      <x v="9"/>
    </i>
    <i t="default" r="10">
      <x v="8"/>
    </i>
    <i t="default" r="9">
      <x v="9"/>
    </i>
    <i t="default" r="8">
      <x v="4"/>
    </i>
    <i t="default" r="7">
      <x v="8"/>
    </i>
    <i t="default" r="6">
      <x v="4"/>
    </i>
    <i t="default" r="5">
      <x v="8"/>
    </i>
    <i t="default" r="4">
      <x v="3"/>
    </i>
    <i r="4">
      <x v="6"/>
      <x v="8"/>
      <x v="8"/>
      <x v="8"/>
      <x v="7"/>
      <x v="9"/>
      <x v="8"/>
      <x v="9"/>
    </i>
    <i t="default" r="10">
      <x v="8"/>
    </i>
    <i t="default" r="9">
      <x v="9"/>
    </i>
    <i t="default" r="8">
      <x v="7"/>
    </i>
    <i t="default" r="7">
      <x v="8"/>
    </i>
    <i t="default" r="6">
      <x v="8"/>
    </i>
    <i t="default" r="5">
      <x v="8"/>
    </i>
    <i t="default" r="4">
      <x v="6"/>
    </i>
    <i t="default" r="3">
      <x v="5"/>
    </i>
    <i t="default" r="2">
      <x v="8"/>
    </i>
    <i t="default" r="1">
      <x v="8"/>
    </i>
    <i t="default">
      <x v="6"/>
    </i>
    <i t="grand">
      <x/>
    </i>
  </colItems>
  <dataFields count="1">
    <dataField name="Sum of Total" fld="35" baseField="0" baseItem="0"/>
  </dataFields>
  <chartFormats count="15">
    <chartFormat chart="0" format="1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0" format="184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5"/>
          </reference>
          <reference field="24" count="1" selected="0">
            <x v="6"/>
          </reference>
        </references>
      </pivotArea>
    </chartFormat>
    <chartFormat chart="0" format="185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2"/>
          </reference>
        </references>
      </pivotArea>
    </chartFormat>
    <chartFormat chart="0" format="186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3"/>
          </reference>
        </references>
      </pivotArea>
    </chartFormat>
    <chartFormat chart="0" format="187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8"/>
          </reference>
        </references>
      </pivotArea>
    </chartFormat>
    <chartFormat chart="0" format="188" series="1">
      <pivotArea type="data" outline="0" fieldPosition="0">
        <references count="4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8"/>
          </reference>
          <reference field="25" count="1" selected="0">
            <x v="8"/>
          </reference>
        </references>
      </pivotArea>
    </chartFormat>
    <chartFormat chart="0" format="189" series="1">
      <pivotArea type="data" outline="0" fieldPosition="0">
        <references count="6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8"/>
          </reference>
          <reference field="25" count="1" selected="0">
            <x v="8"/>
          </reference>
          <reference field="26" count="1" selected="0">
            <x v="5"/>
          </reference>
          <reference field="27" count="1" selected="0">
            <x v="2"/>
          </reference>
        </references>
      </pivotArea>
    </chartFormat>
    <chartFormat chart="0" format="190" series="1">
      <pivotArea type="data" outline="0" fieldPosition="0">
        <references count="6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8"/>
          </reference>
          <reference field="25" count="1" selected="0">
            <x v="8"/>
          </reference>
          <reference field="26" count="1" selected="0">
            <x v="5"/>
          </reference>
          <reference field="27" count="1" selected="0">
            <x v="3"/>
          </reference>
        </references>
      </pivotArea>
    </chartFormat>
    <chartFormat chart="0" format="191" series="1">
      <pivotArea type="data" outline="0" fieldPosition="0">
        <references count="6">
          <reference field="4294967294" count="1" selected="0">
            <x v="0"/>
          </reference>
          <reference field="23" count="1" selected="0">
            <x v="6"/>
          </reference>
          <reference field="24" count="1" selected="0">
            <x v="8"/>
          </reference>
          <reference field="25" count="1" selected="0">
            <x v="8"/>
          </reference>
          <reference field="26" count="1" selected="0">
            <x v="5"/>
          </reference>
          <reference field="2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AF8E-F782-4225-B92E-E6EA6CFD65A2}">
  <dimension ref="A3:FH39"/>
  <sheetViews>
    <sheetView topLeftCell="A16" zoomScale="85" zoomScaleNormal="85" workbookViewId="0">
      <selection activeCell="F17" sqref="F17"/>
    </sheetView>
  </sheetViews>
  <sheetFormatPr defaultRowHeight="15" x14ac:dyDescent="0.25"/>
  <cols>
    <col min="1" max="1" width="25.42578125" bestFit="1" customWidth="1"/>
    <col min="2" max="2" width="16.140625" bestFit="1" customWidth="1"/>
    <col min="3" max="4" width="6.5703125" bestFit="1" customWidth="1"/>
    <col min="5" max="5" width="11.42578125" bestFit="1" customWidth="1"/>
    <col min="6" max="12" width="6.5703125" bestFit="1" customWidth="1"/>
    <col min="13" max="13" width="8.5703125" bestFit="1" customWidth="1"/>
    <col min="14" max="19" width="6.5703125" bestFit="1" customWidth="1"/>
    <col min="20" max="21" width="11.42578125" bestFit="1" customWidth="1"/>
    <col min="22" max="22" width="6.5703125" bestFit="1" customWidth="1"/>
    <col min="23" max="23" width="11.42578125" bestFit="1" customWidth="1"/>
    <col min="24" max="24" width="6.5703125" bestFit="1" customWidth="1"/>
    <col min="25" max="25" width="8.5703125" bestFit="1" customWidth="1"/>
    <col min="26" max="26" width="11.42578125" bestFit="1" customWidth="1"/>
    <col min="27" max="27" width="6.5703125" bestFit="1" customWidth="1"/>
    <col min="28" max="28" width="7.5703125" bestFit="1" customWidth="1"/>
    <col min="29" max="33" width="6.5703125" bestFit="1" customWidth="1"/>
    <col min="34" max="34" width="7.5703125" bestFit="1" customWidth="1"/>
    <col min="35" max="36" width="6.5703125" bestFit="1" customWidth="1"/>
    <col min="37" max="37" width="8.5703125" bestFit="1" customWidth="1"/>
    <col min="38" max="42" width="11.42578125" bestFit="1" customWidth="1"/>
    <col min="43" max="43" width="6.5703125" bestFit="1" customWidth="1"/>
    <col min="44" max="46" width="11.42578125" bestFit="1" customWidth="1"/>
    <col min="47" max="47" width="6.5703125" bestFit="1" customWidth="1"/>
    <col min="48" max="48" width="4.5703125" bestFit="1" customWidth="1"/>
    <col min="49" max="51" width="7.5703125" bestFit="1" customWidth="1"/>
    <col min="52" max="52" width="6.5703125" bestFit="1" customWidth="1"/>
    <col min="53" max="54" width="7.5703125" bestFit="1" customWidth="1"/>
    <col min="55" max="59" width="6.5703125" bestFit="1" customWidth="1"/>
    <col min="60" max="60" width="8.5703125" bestFit="1" customWidth="1"/>
    <col min="61" max="62" width="7.5703125" bestFit="1" customWidth="1"/>
    <col min="63" max="64" width="6.5703125" bestFit="1" customWidth="1"/>
    <col min="65" max="65" width="7.5703125" bestFit="1" customWidth="1"/>
    <col min="66" max="66" width="11.42578125" bestFit="1" customWidth="1"/>
    <col min="67" max="67" width="6.5703125" bestFit="1" customWidth="1"/>
    <col min="68" max="68" width="8.5703125" bestFit="1" customWidth="1"/>
    <col min="69" max="69" width="7.5703125" bestFit="1" customWidth="1"/>
    <col min="70" max="70" width="6.5703125" bestFit="1" customWidth="1"/>
    <col min="71" max="72" width="11.42578125" bestFit="1" customWidth="1"/>
    <col min="73" max="73" width="7.5703125" bestFit="1" customWidth="1"/>
    <col min="74" max="74" width="6.5703125" bestFit="1" customWidth="1"/>
    <col min="75" max="76" width="11.42578125" bestFit="1" customWidth="1"/>
    <col min="77" max="79" width="6.5703125" bestFit="1" customWidth="1"/>
    <col min="80" max="80" width="4.5703125" bestFit="1" customWidth="1"/>
    <col min="81" max="82" width="7.5703125" bestFit="1" customWidth="1"/>
    <col min="83" max="83" width="6.5703125" bestFit="1" customWidth="1"/>
    <col min="84" max="85" width="7.5703125" bestFit="1" customWidth="1"/>
    <col min="86" max="86" width="6.5703125" bestFit="1" customWidth="1"/>
    <col min="87" max="87" width="7.5703125" bestFit="1" customWidth="1"/>
    <col min="88" max="89" width="6.5703125" bestFit="1" customWidth="1"/>
    <col min="90" max="90" width="7.5703125" bestFit="1" customWidth="1"/>
    <col min="91" max="91" width="6.5703125" bestFit="1" customWidth="1"/>
    <col min="92" max="92" width="4.5703125" bestFit="1" customWidth="1"/>
    <col min="93" max="94" width="7.5703125" bestFit="1" customWidth="1"/>
    <col min="95" max="95" width="6.5703125" bestFit="1" customWidth="1"/>
    <col min="96" max="96" width="7.5703125" bestFit="1" customWidth="1"/>
    <col min="97" max="97" width="6.5703125" bestFit="1" customWidth="1"/>
    <col min="98" max="98" width="7.5703125" bestFit="1" customWidth="1"/>
    <col min="99" max="99" width="6.5703125" bestFit="1" customWidth="1"/>
    <col min="100" max="100" width="7.5703125" bestFit="1" customWidth="1"/>
    <col min="101" max="101" width="6.5703125" bestFit="1" customWidth="1"/>
    <col min="102" max="103" width="7.5703125" bestFit="1" customWidth="1"/>
    <col min="104" max="104" width="8.5703125" bestFit="1" customWidth="1"/>
    <col min="105" max="113" width="11.42578125" bestFit="1" customWidth="1"/>
    <col min="114" max="114" width="6.5703125" bestFit="1" customWidth="1"/>
    <col min="115" max="115" width="8.5703125" bestFit="1" customWidth="1"/>
    <col min="116" max="116" width="7.5703125" bestFit="1" customWidth="1"/>
    <col min="117" max="117" width="11.42578125" bestFit="1" customWidth="1"/>
    <col min="118" max="120" width="7.5703125" bestFit="1" customWidth="1"/>
    <col min="121" max="121" width="6.5703125" bestFit="1" customWidth="1"/>
    <col min="122" max="122" width="7.5703125" bestFit="1" customWidth="1"/>
    <col min="123" max="125" width="6.5703125" bestFit="1" customWidth="1"/>
    <col min="126" max="126" width="8.5703125" bestFit="1" customWidth="1"/>
    <col min="127" max="127" width="7.5703125" bestFit="1" customWidth="1"/>
    <col min="128" max="128" width="6.5703125" bestFit="1" customWidth="1"/>
    <col min="129" max="134" width="11.42578125" bestFit="1" customWidth="1"/>
    <col min="135" max="135" width="6.5703125" bestFit="1" customWidth="1"/>
    <col min="136" max="136" width="8.5703125" bestFit="1" customWidth="1"/>
    <col min="137" max="138" width="11.42578125" bestFit="1" customWidth="1"/>
    <col min="139" max="140" width="6.5703125" bestFit="1" customWidth="1"/>
    <col min="141" max="142" width="11.42578125" bestFit="1" customWidth="1"/>
    <col min="143" max="143" width="6.5703125" bestFit="1" customWidth="1"/>
    <col min="144" max="144" width="8.5703125" bestFit="1" customWidth="1"/>
    <col min="145" max="146" width="11.42578125" bestFit="1" customWidth="1"/>
    <col min="147" max="147" width="7.5703125" bestFit="1" customWidth="1"/>
    <col min="148" max="148" width="11.42578125" bestFit="1" customWidth="1"/>
    <col min="149" max="149" width="7.5703125" bestFit="1" customWidth="1"/>
    <col min="150" max="150" width="11.42578125" bestFit="1" customWidth="1"/>
    <col min="151" max="151" width="7.5703125" bestFit="1" customWidth="1"/>
    <col min="152" max="152" width="8.5703125" bestFit="1" customWidth="1"/>
    <col min="153" max="163" width="11.42578125" bestFit="1" customWidth="1"/>
    <col min="164" max="164" width="10.42578125" bestFit="1" customWidth="1"/>
  </cols>
  <sheetData>
    <row r="3" spans="1:164" x14ac:dyDescent="0.25">
      <c r="A3" s="107" t="s">
        <v>185</v>
      </c>
      <c r="B3" s="107" t="s">
        <v>181</v>
      </c>
    </row>
    <row r="4" spans="1:164" x14ac:dyDescent="0.25">
      <c r="B4">
        <v>1</v>
      </c>
      <c r="X4" t="s">
        <v>186</v>
      </c>
      <c r="Y4">
        <v>2</v>
      </c>
      <c r="AJ4" t="s">
        <v>188</v>
      </c>
      <c r="AK4">
        <v>3</v>
      </c>
      <c r="BG4" t="s">
        <v>189</v>
      </c>
      <c r="BH4">
        <v>4</v>
      </c>
      <c r="CA4" t="s">
        <v>190</v>
      </c>
      <c r="CB4">
        <v>7</v>
      </c>
      <c r="CM4" t="s">
        <v>191</v>
      </c>
      <c r="CN4">
        <v>10</v>
      </c>
      <c r="CY4" t="s">
        <v>192</v>
      </c>
      <c r="CZ4" t="s">
        <v>182</v>
      </c>
      <c r="FG4" t="s">
        <v>187</v>
      </c>
      <c r="FH4" t="s">
        <v>183</v>
      </c>
    </row>
    <row r="5" spans="1:164" x14ac:dyDescent="0.25">
      <c r="B5">
        <v>1</v>
      </c>
      <c r="L5" t="s">
        <v>186</v>
      </c>
      <c r="M5" t="s">
        <v>182</v>
      </c>
      <c r="W5" t="s">
        <v>187</v>
      </c>
      <c r="Y5">
        <v>6</v>
      </c>
      <c r="AI5" t="s">
        <v>193</v>
      </c>
      <c r="AK5">
        <v>6</v>
      </c>
      <c r="AU5" t="s">
        <v>193</v>
      </c>
      <c r="AV5">
        <v>8</v>
      </c>
      <c r="BF5" t="s">
        <v>194</v>
      </c>
      <c r="BH5">
        <v>2</v>
      </c>
      <c r="BZ5" t="s">
        <v>188</v>
      </c>
      <c r="CB5">
        <v>26</v>
      </c>
      <c r="CL5" t="s">
        <v>195</v>
      </c>
      <c r="CN5">
        <v>10</v>
      </c>
      <c r="CX5" t="s">
        <v>192</v>
      </c>
      <c r="CZ5">
        <v>3</v>
      </c>
      <c r="DJ5" t="s">
        <v>189</v>
      </c>
      <c r="DK5">
        <v>5</v>
      </c>
      <c r="DU5" t="s">
        <v>196</v>
      </c>
      <c r="DV5" t="s">
        <v>182</v>
      </c>
      <c r="FF5" t="s">
        <v>187</v>
      </c>
    </row>
    <row r="6" spans="1:164" x14ac:dyDescent="0.25">
      <c r="B6">
        <v>4</v>
      </c>
      <c r="K6" t="s">
        <v>190</v>
      </c>
      <c r="M6">
        <v>1</v>
      </c>
      <c r="V6" t="s">
        <v>186</v>
      </c>
      <c r="Y6">
        <v>10</v>
      </c>
      <c r="AH6" t="s">
        <v>192</v>
      </c>
      <c r="AK6" t="s">
        <v>182</v>
      </c>
      <c r="AT6" t="s">
        <v>187</v>
      </c>
      <c r="AV6">
        <v>3</v>
      </c>
      <c r="BE6" t="s">
        <v>189</v>
      </c>
      <c r="BH6">
        <v>3</v>
      </c>
      <c r="BY6" t="s">
        <v>189</v>
      </c>
      <c r="CB6">
        <v>6</v>
      </c>
      <c r="CK6" t="s">
        <v>193</v>
      </c>
      <c r="CN6">
        <v>9</v>
      </c>
      <c r="CW6" t="s">
        <v>197</v>
      </c>
      <c r="CZ6" t="s">
        <v>182</v>
      </c>
      <c r="DI6" t="s">
        <v>187</v>
      </c>
      <c r="DK6">
        <v>8</v>
      </c>
      <c r="DT6" t="s">
        <v>194</v>
      </c>
      <c r="DV6">
        <v>5</v>
      </c>
      <c r="EE6" t="s">
        <v>196</v>
      </c>
      <c r="EF6" t="s">
        <v>182</v>
      </c>
      <c r="FE6" t="s">
        <v>187</v>
      </c>
    </row>
    <row r="7" spans="1:164" x14ac:dyDescent="0.25">
      <c r="B7">
        <v>5</v>
      </c>
      <c r="J7" t="s">
        <v>196</v>
      </c>
      <c r="M7" t="s">
        <v>182</v>
      </c>
      <c r="U7" t="s">
        <v>187</v>
      </c>
      <c r="Y7">
        <v>8</v>
      </c>
      <c r="AG7" t="s">
        <v>194</v>
      </c>
      <c r="AK7" t="s">
        <v>182</v>
      </c>
      <c r="AS7" t="s">
        <v>187</v>
      </c>
      <c r="AV7">
        <v>6</v>
      </c>
      <c r="BD7" t="s">
        <v>193</v>
      </c>
      <c r="BH7" t="s">
        <v>182</v>
      </c>
      <c r="BX7" t="s">
        <v>187</v>
      </c>
      <c r="CB7">
        <v>4</v>
      </c>
      <c r="CJ7" t="s">
        <v>190</v>
      </c>
      <c r="CN7">
        <v>11</v>
      </c>
      <c r="CV7" t="s">
        <v>198</v>
      </c>
      <c r="CZ7" t="s">
        <v>182</v>
      </c>
      <c r="DH7" t="s">
        <v>187</v>
      </c>
      <c r="DK7">
        <v>6</v>
      </c>
      <c r="DS7" t="s">
        <v>193</v>
      </c>
      <c r="DV7" t="s">
        <v>182</v>
      </c>
      <c r="ED7" t="s">
        <v>187</v>
      </c>
      <c r="EF7" t="s">
        <v>182</v>
      </c>
      <c r="FD7" t="s">
        <v>187</v>
      </c>
    </row>
    <row r="8" spans="1:164" x14ac:dyDescent="0.25">
      <c r="B8">
        <v>8</v>
      </c>
      <c r="I8" t="s">
        <v>194</v>
      </c>
      <c r="M8" t="s">
        <v>182</v>
      </c>
      <c r="T8" t="s">
        <v>187</v>
      </c>
      <c r="Y8">
        <v>2</v>
      </c>
      <c r="AF8" t="s">
        <v>188</v>
      </c>
      <c r="AK8" t="s">
        <v>182</v>
      </c>
      <c r="AR8" t="s">
        <v>187</v>
      </c>
      <c r="AV8">
        <v>2</v>
      </c>
      <c r="BC8" t="s">
        <v>188</v>
      </c>
      <c r="BH8">
        <v>4</v>
      </c>
      <c r="BO8" t="s">
        <v>190</v>
      </c>
      <c r="BP8" t="s">
        <v>182</v>
      </c>
      <c r="BW8" t="s">
        <v>187</v>
      </c>
      <c r="CB8">
        <v>14</v>
      </c>
      <c r="CI8" t="s">
        <v>199</v>
      </c>
      <c r="CN8">
        <v>4</v>
      </c>
      <c r="CU8" t="s">
        <v>190</v>
      </c>
      <c r="CZ8" t="s">
        <v>182</v>
      </c>
      <c r="DG8" t="s">
        <v>187</v>
      </c>
      <c r="DK8">
        <v>17</v>
      </c>
      <c r="DR8" t="s">
        <v>200</v>
      </c>
      <c r="DV8" t="s">
        <v>182</v>
      </c>
      <c r="EC8" t="s">
        <v>187</v>
      </c>
      <c r="EF8">
        <v>8</v>
      </c>
      <c r="EM8" t="s">
        <v>194</v>
      </c>
      <c r="EN8">
        <v>12</v>
      </c>
      <c r="EU8" t="s">
        <v>201</v>
      </c>
      <c r="EV8" t="s">
        <v>182</v>
      </c>
      <c r="FC8" t="s">
        <v>187</v>
      </c>
    </row>
    <row r="9" spans="1:164" x14ac:dyDescent="0.25">
      <c r="B9">
        <v>4</v>
      </c>
      <c r="H9" t="s">
        <v>190</v>
      </c>
      <c r="M9">
        <v>1</v>
      </c>
      <c r="S9" t="s">
        <v>186</v>
      </c>
      <c r="Y9">
        <v>2</v>
      </c>
      <c r="AE9" t="s">
        <v>188</v>
      </c>
      <c r="AK9">
        <v>4</v>
      </c>
      <c r="AQ9" t="s">
        <v>190</v>
      </c>
      <c r="AV9">
        <v>14</v>
      </c>
      <c r="BB9" t="s">
        <v>199</v>
      </c>
      <c r="BH9" t="s">
        <v>182</v>
      </c>
      <c r="BN9" t="s">
        <v>187</v>
      </c>
      <c r="BP9">
        <v>7</v>
      </c>
      <c r="BV9" t="s">
        <v>191</v>
      </c>
      <c r="CB9">
        <v>8</v>
      </c>
      <c r="CH9" t="s">
        <v>194</v>
      </c>
      <c r="CN9">
        <v>11</v>
      </c>
      <c r="CT9" t="s">
        <v>198</v>
      </c>
      <c r="CZ9" t="s">
        <v>182</v>
      </c>
      <c r="DF9" t="s">
        <v>187</v>
      </c>
      <c r="DK9">
        <v>9</v>
      </c>
      <c r="DQ9" t="s">
        <v>197</v>
      </c>
      <c r="DV9" t="s">
        <v>182</v>
      </c>
      <c r="EB9" t="s">
        <v>187</v>
      </c>
      <c r="EF9" t="s">
        <v>182</v>
      </c>
      <c r="EL9" t="s">
        <v>187</v>
      </c>
      <c r="EN9" t="s">
        <v>182</v>
      </c>
      <c r="ET9" t="s">
        <v>187</v>
      </c>
      <c r="EV9" t="s">
        <v>182</v>
      </c>
      <c r="FB9" t="s">
        <v>187</v>
      </c>
    </row>
    <row r="10" spans="1:164" x14ac:dyDescent="0.25">
      <c r="B10">
        <v>5</v>
      </c>
      <c r="G10" t="s">
        <v>196</v>
      </c>
      <c r="M10">
        <v>2</v>
      </c>
      <c r="R10" t="s">
        <v>188</v>
      </c>
      <c r="Y10">
        <v>8</v>
      </c>
      <c r="AD10" t="s">
        <v>194</v>
      </c>
      <c r="AK10" t="s">
        <v>182</v>
      </c>
      <c r="AP10" t="s">
        <v>187</v>
      </c>
      <c r="AV10">
        <v>17</v>
      </c>
      <c r="BA10" t="s">
        <v>200</v>
      </c>
      <c r="BH10">
        <v>10</v>
      </c>
      <c r="BM10" t="s">
        <v>192</v>
      </c>
      <c r="BP10">
        <v>10</v>
      </c>
      <c r="BU10" t="s">
        <v>192</v>
      </c>
      <c r="CB10">
        <v>18</v>
      </c>
      <c r="CG10" t="s">
        <v>202</v>
      </c>
      <c r="CN10">
        <v>5</v>
      </c>
      <c r="CS10" t="s">
        <v>196</v>
      </c>
      <c r="CZ10" t="s">
        <v>182</v>
      </c>
      <c r="DE10" t="s">
        <v>187</v>
      </c>
      <c r="DK10">
        <v>24</v>
      </c>
      <c r="DP10" t="s">
        <v>203</v>
      </c>
      <c r="DV10" t="s">
        <v>182</v>
      </c>
      <c r="EA10" t="s">
        <v>187</v>
      </c>
      <c r="EF10" t="s">
        <v>182</v>
      </c>
      <c r="EK10" t="s">
        <v>187</v>
      </c>
      <c r="EN10">
        <v>12</v>
      </c>
      <c r="ES10" t="s">
        <v>201</v>
      </c>
      <c r="EV10" t="s">
        <v>182</v>
      </c>
      <c r="FA10" t="s">
        <v>187</v>
      </c>
    </row>
    <row r="11" spans="1:164" x14ac:dyDescent="0.25">
      <c r="B11">
        <v>4</v>
      </c>
      <c r="F11" t="s">
        <v>190</v>
      </c>
      <c r="M11">
        <v>1</v>
      </c>
      <c r="Q11" t="s">
        <v>186</v>
      </c>
      <c r="Y11">
        <v>2</v>
      </c>
      <c r="AC11" t="s">
        <v>188</v>
      </c>
      <c r="AK11" t="s">
        <v>182</v>
      </c>
      <c r="AO11" t="s">
        <v>187</v>
      </c>
      <c r="AV11">
        <v>6</v>
      </c>
      <c r="AZ11" t="s">
        <v>193</v>
      </c>
      <c r="BH11">
        <v>9</v>
      </c>
      <c r="BL11" t="s">
        <v>197</v>
      </c>
      <c r="BP11" t="s">
        <v>182</v>
      </c>
      <c r="BT11" t="s">
        <v>187</v>
      </c>
      <c r="CB11">
        <v>11</v>
      </c>
      <c r="CF11" t="s">
        <v>198</v>
      </c>
      <c r="CN11">
        <v>21</v>
      </c>
      <c r="CR11" t="s">
        <v>204</v>
      </c>
      <c r="CZ11" t="s">
        <v>182</v>
      </c>
      <c r="DD11" t="s">
        <v>187</v>
      </c>
      <c r="DK11">
        <v>29</v>
      </c>
      <c r="DO11" t="s">
        <v>205</v>
      </c>
      <c r="DV11" t="s">
        <v>182</v>
      </c>
      <c r="DZ11" t="s">
        <v>187</v>
      </c>
      <c r="EF11">
        <v>6</v>
      </c>
      <c r="EJ11" t="s">
        <v>193</v>
      </c>
      <c r="EN11" t="s">
        <v>182</v>
      </c>
      <c r="ER11" t="s">
        <v>187</v>
      </c>
      <c r="EV11" t="s">
        <v>182</v>
      </c>
      <c r="EZ11" t="s">
        <v>187</v>
      </c>
    </row>
    <row r="12" spans="1:164" x14ac:dyDescent="0.25">
      <c r="B12" t="s">
        <v>182</v>
      </c>
      <c r="E12" t="s">
        <v>187</v>
      </c>
      <c r="M12">
        <v>1</v>
      </c>
      <c r="P12" t="s">
        <v>186</v>
      </c>
      <c r="Y12">
        <v>10</v>
      </c>
      <c r="AB12" t="s">
        <v>192</v>
      </c>
      <c r="AK12" t="s">
        <v>182</v>
      </c>
      <c r="AN12" t="s">
        <v>187</v>
      </c>
      <c r="AV12">
        <v>11</v>
      </c>
      <c r="AY12" t="s">
        <v>198</v>
      </c>
      <c r="BH12">
        <v>9</v>
      </c>
      <c r="BK12" t="s">
        <v>197</v>
      </c>
      <c r="BP12" t="s">
        <v>182</v>
      </c>
      <c r="BS12" t="s">
        <v>187</v>
      </c>
      <c r="CB12">
        <v>9</v>
      </c>
      <c r="CE12" t="s">
        <v>197</v>
      </c>
      <c r="CN12">
        <v>5</v>
      </c>
      <c r="CQ12" t="s">
        <v>196</v>
      </c>
      <c r="CZ12" t="s">
        <v>182</v>
      </c>
      <c r="DC12" t="s">
        <v>187</v>
      </c>
      <c r="DK12">
        <v>53</v>
      </c>
      <c r="DN12" t="s">
        <v>206</v>
      </c>
      <c r="DV12" t="s">
        <v>182</v>
      </c>
      <c r="DY12" t="s">
        <v>187</v>
      </c>
      <c r="EF12">
        <v>7</v>
      </c>
      <c r="EI12" t="s">
        <v>191</v>
      </c>
      <c r="EN12">
        <v>10</v>
      </c>
      <c r="EQ12" t="s">
        <v>192</v>
      </c>
      <c r="EV12" t="s">
        <v>182</v>
      </c>
      <c r="EY12" t="s">
        <v>187</v>
      </c>
    </row>
    <row r="13" spans="1:164" x14ac:dyDescent="0.25">
      <c r="B13">
        <v>5</v>
      </c>
      <c r="D13" t="s">
        <v>196</v>
      </c>
      <c r="M13">
        <v>2</v>
      </c>
      <c r="O13" t="s">
        <v>188</v>
      </c>
      <c r="Y13">
        <v>4</v>
      </c>
      <c r="AA13" t="s">
        <v>190</v>
      </c>
      <c r="AK13" t="s">
        <v>182</v>
      </c>
      <c r="AM13" t="s">
        <v>187</v>
      </c>
      <c r="AV13">
        <v>18</v>
      </c>
      <c r="AX13" t="s">
        <v>202</v>
      </c>
      <c r="BH13">
        <v>10</v>
      </c>
      <c r="BJ13" t="s">
        <v>192</v>
      </c>
      <c r="BP13">
        <v>7</v>
      </c>
      <c r="BR13" t="s">
        <v>191</v>
      </c>
      <c r="CB13">
        <v>45</v>
      </c>
      <c r="CD13" t="s">
        <v>207</v>
      </c>
      <c r="CN13">
        <v>25</v>
      </c>
      <c r="CP13" t="s">
        <v>208</v>
      </c>
      <c r="CZ13" t="s">
        <v>182</v>
      </c>
      <c r="DB13" t="s">
        <v>187</v>
      </c>
      <c r="DK13" t="s">
        <v>182</v>
      </c>
      <c r="DM13" t="s">
        <v>187</v>
      </c>
      <c r="DV13">
        <v>8</v>
      </c>
      <c r="DX13" t="s">
        <v>194</v>
      </c>
      <c r="EF13" t="s">
        <v>182</v>
      </c>
      <c r="EH13" t="s">
        <v>187</v>
      </c>
      <c r="EN13" t="s">
        <v>182</v>
      </c>
      <c r="EP13" t="s">
        <v>187</v>
      </c>
      <c r="EV13" t="s">
        <v>182</v>
      </c>
      <c r="EX13" t="s">
        <v>187</v>
      </c>
    </row>
    <row r="14" spans="1:164" x14ac:dyDescent="0.25">
      <c r="B14">
        <v>6</v>
      </c>
      <c r="C14" t="s">
        <v>193</v>
      </c>
      <c r="M14">
        <v>2</v>
      </c>
      <c r="N14" t="s">
        <v>188</v>
      </c>
      <c r="Y14" t="s">
        <v>182</v>
      </c>
      <c r="Z14" t="s">
        <v>187</v>
      </c>
      <c r="AK14" t="s">
        <v>182</v>
      </c>
      <c r="AL14" t="s">
        <v>187</v>
      </c>
      <c r="AV14">
        <v>34</v>
      </c>
      <c r="AW14" t="s">
        <v>209</v>
      </c>
      <c r="BH14">
        <v>11</v>
      </c>
      <c r="BI14" t="s">
        <v>198</v>
      </c>
      <c r="BP14">
        <v>11</v>
      </c>
      <c r="BQ14" t="s">
        <v>198</v>
      </c>
      <c r="CB14">
        <v>16</v>
      </c>
      <c r="CC14" t="s">
        <v>210</v>
      </c>
      <c r="CN14">
        <v>30</v>
      </c>
      <c r="CO14" t="s">
        <v>211</v>
      </c>
      <c r="CZ14" t="s">
        <v>182</v>
      </c>
      <c r="DA14" t="s">
        <v>187</v>
      </c>
      <c r="DK14">
        <v>25</v>
      </c>
      <c r="DL14" t="s">
        <v>208</v>
      </c>
      <c r="DV14">
        <v>20</v>
      </c>
      <c r="DW14" t="s">
        <v>212</v>
      </c>
      <c r="EF14" t="s">
        <v>182</v>
      </c>
      <c r="EG14" t="s">
        <v>187</v>
      </c>
      <c r="EN14" t="s">
        <v>182</v>
      </c>
      <c r="EO14" t="s">
        <v>187</v>
      </c>
      <c r="EV14" t="s">
        <v>182</v>
      </c>
      <c r="EW14" t="s">
        <v>187</v>
      </c>
    </row>
    <row r="15" spans="1:164" x14ac:dyDescent="0.25">
      <c r="A15" s="107" t="s">
        <v>184</v>
      </c>
      <c r="B15">
        <v>8</v>
      </c>
      <c r="M15">
        <v>1</v>
      </c>
      <c r="Y15">
        <v>10</v>
      </c>
      <c r="AK15" t="s">
        <v>182</v>
      </c>
      <c r="AV15">
        <v>3</v>
      </c>
      <c r="BH15">
        <v>3</v>
      </c>
      <c r="BP15">
        <v>9</v>
      </c>
      <c r="CB15">
        <v>7</v>
      </c>
      <c r="CN15">
        <v>15</v>
      </c>
      <c r="CZ15" t="s">
        <v>182</v>
      </c>
      <c r="DK15">
        <v>14</v>
      </c>
      <c r="DV15">
        <v>12</v>
      </c>
      <c r="EF15" t="s">
        <v>182</v>
      </c>
      <c r="EN15" t="s">
        <v>182</v>
      </c>
      <c r="EV15" t="s">
        <v>182</v>
      </c>
    </row>
    <row r="16" spans="1:164" x14ac:dyDescent="0.25">
      <c r="A16" s="108" t="s">
        <v>69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</row>
    <row r="17" spans="1:164" x14ac:dyDescent="0.25">
      <c r="A17" s="108" t="s">
        <v>86</v>
      </c>
      <c r="Y17">
        <v>64</v>
      </c>
      <c r="Z17">
        <v>64</v>
      </c>
      <c r="AA17">
        <v>64</v>
      </c>
      <c r="AB17">
        <v>64</v>
      </c>
      <c r="AC17">
        <v>64</v>
      </c>
      <c r="AD17">
        <v>64</v>
      </c>
      <c r="AE17">
        <v>64</v>
      </c>
      <c r="AF17">
        <v>64</v>
      </c>
      <c r="AG17">
        <v>64</v>
      </c>
      <c r="AH17">
        <v>64</v>
      </c>
      <c r="AI17">
        <v>64</v>
      </c>
      <c r="AJ17">
        <v>64</v>
      </c>
      <c r="FH17">
        <v>64</v>
      </c>
    </row>
    <row r="18" spans="1:164" x14ac:dyDescent="0.25">
      <c r="A18" s="108" t="s">
        <v>72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</row>
    <row r="19" spans="1:164" x14ac:dyDescent="0.25">
      <c r="A19" s="108" t="s">
        <v>108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</row>
    <row r="20" spans="1:164" x14ac:dyDescent="0.25">
      <c r="A20" s="108" t="s">
        <v>112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</row>
    <row r="21" spans="1:164" x14ac:dyDescent="0.25">
      <c r="A21" s="108" t="s">
        <v>64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</row>
    <row r="22" spans="1:164" x14ac:dyDescent="0.25">
      <c r="A22" s="108" t="s">
        <v>55</v>
      </c>
      <c r="BP22">
        <v>53</v>
      </c>
      <c r="BQ22">
        <v>53</v>
      </c>
      <c r="BR22">
        <v>53</v>
      </c>
      <c r="BS22">
        <v>53</v>
      </c>
      <c r="BT22">
        <v>53</v>
      </c>
      <c r="BU22">
        <v>53</v>
      </c>
      <c r="BV22">
        <v>53</v>
      </c>
      <c r="BW22">
        <v>53</v>
      </c>
      <c r="BX22">
        <v>53</v>
      </c>
      <c r="BY22">
        <v>53</v>
      </c>
      <c r="BZ22">
        <v>53</v>
      </c>
      <c r="CA22">
        <v>53</v>
      </c>
      <c r="EF22">
        <v>21</v>
      </c>
      <c r="EG22">
        <v>21</v>
      </c>
      <c r="EH22">
        <v>21</v>
      </c>
      <c r="EI22">
        <v>21</v>
      </c>
      <c r="EJ22">
        <v>21</v>
      </c>
      <c r="EK22">
        <v>21</v>
      </c>
      <c r="EL22">
        <v>21</v>
      </c>
      <c r="EM22">
        <v>21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21</v>
      </c>
      <c r="FE22">
        <v>21</v>
      </c>
      <c r="FF22">
        <v>21</v>
      </c>
      <c r="FG22">
        <v>21</v>
      </c>
      <c r="FH22">
        <v>74</v>
      </c>
    </row>
    <row r="23" spans="1:164" x14ac:dyDescent="0.25">
      <c r="A23" s="108" t="s">
        <v>146</v>
      </c>
      <c r="EV23">
        <v>1003</v>
      </c>
      <c r="EW23">
        <v>1003</v>
      </c>
      <c r="EX23">
        <v>1003</v>
      </c>
      <c r="EY23">
        <v>1003</v>
      </c>
      <c r="EZ23">
        <v>1003</v>
      </c>
      <c r="FA23">
        <v>1003</v>
      </c>
      <c r="FB23">
        <v>1003</v>
      </c>
      <c r="FC23">
        <v>1003</v>
      </c>
      <c r="FD23">
        <v>1003</v>
      </c>
      <c r="FE23">
        <v>1003</v>
      </c>
      <c r="FF23">
        <v>1003</v>
      </c>
      <c r="FG23">
        <v>1003</v>
      </c>
      <c r="FH23">
        <v>1003</v>
      </c>
    </row>
    <row r="24" spans="1:164" x14ac:dyDescent="0.25">
      <c r="A24" s="108" t="s">
        <v>79</v>
      </c>
      <c r="DV24">
        <v>45</v>
      </c>
      <c r="DW24">
        <v>45</v>
      </c>
      <c r="DX24">
        <v>45</v>
      </c>
      <c r="DY24">
        <v>45</v>
      </c>
      <c r="DZ24">
        <v>45</v>
      </c>
      <c r="EA24">
        <v>45</v>
      </c>
      <c r="EB24">
        <v>45</v>
      </c>
      <c r="EC24">
        <v>45</v>
      </c>
      <c r="ED24">
        <v>45</v>
      </c>
      <c r="EE24">
        <v>45</v>
      </c>
      <c r="FF24">
        <v>45</v>
      </c>
      <c r="FG24">
        <v>45</v>
      </c>
      <c r="FH24">
        <v>45</v>
      </c>
    </row>
    <row r="25" spans="1:164" x14ac:dyDescent="0.25">
      <c r="A25" s="108" t="s">
        <v>60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</row>
    <row r="26" spans="1:164" x14ac:dyDescent="0.25">
      <c r="A26" s="108" t="s">
        <v>51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</row>
    <row r="27" spans="1:164" x14ac:dyDescent="0.25">
      <c r="A27" s="108" t="s">
        <v>48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</row>
    <row r="28" spans="1:164" x14ac:dyDescent="0.25">
      <c r="A28" s="108" t="s">
        <v>74</v>
      </c>
      <c r="CZ28">
        <v>3</v>
      </c>
      <c r="DA28">
        <v>3</v>
      </c>
      <c r="DB28">
        <v>3</v>
      </c>
      <c r="DC28">
        <v>3</v>
      </c>
      <c r="DD28">
        <v>3</v>
      </c>
      <c r="DE28">
        <v>3</v>
      </c>
      <c r="DF28">
        <v>3</v>
      </c>
      <c r="DG28">
        <v>3</v>
      </c>
      <c r="DH28">
        <v>3</v>
      </c>
      <c r="DI28">
        <v>3</v>
      </c>
      <c r="DJ28">
        <v>3</v>
      </c>
      <c r="FG28">
        <v>3</v>
      </c>
      <c r="FH28">
        <v>3</v>
      </c>
    </row>
    <row r="29" spans="1:164" x14ac:dyDescent="0.25">
      <c r="A29" s="108" t="s">
        <v>39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</row>
    <row r="30" spans="1:164" x14ac:dyDescent="0.25">
      <c r="A30" s="108" t="s">
        <v>27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</row>
    <row r="31" spans="1:164" x14ac:dyDescent="0.25">
      <c r="A31" s="108" t="s">
        <v>33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</row>
    <row r="32" spans="1:164" x14ac:dyDescent="0.25">
      <c r="A32" s="108" t="s">
        <v>94</v>
      </c>
      <c r="CB32">
        <v>171</v>
      </c>
      <c r="CC32">
        <v>171</v>
      </c>
      <c r="CD32">
        <v>171</v>
      </c>
      <c r="CE32">
        <v>171</v>
      </c>
      <c r="CF32">
        <v>171</v>
      </c>
      <c r="CG32">
        <v>171</v>
      </c>
      <c r="CH32">
        <v>171</v>
      </c>
      <c r="CI32">
        <v>171</v>
      </c>
      <c r="CJ32">
        <v>171</v>
      </c>
      <c r="CK32">
        <v>171</v>
      </c>
      <c r="CL32">
        <v>171</v>
      </c>
      <c r="CM32">
        <v>171</v>
      </c>
      <c r="CN32">
        <v>156</v>
      </c>
      <c r="CO32">
        <v>156</v>
      </c>
      <c r="CP32">
        <v>156</v>
      </c>
      <c r="CQ32">
        <v>156</v>
      </c>
      <c r="CR32">
        <v>156</v>
      </c>
      <c r="CS32">
        <v>156</v>
      </c>
      <c r="CT32">
        <v>156</v>
      </c>
      <c r="CU32">
        <v>156</v>
      </c>
      <c r="CV32">
        <v>156</v>
      </c>
      <c r="CW32">
        <v>156</v>
      </c>
      <c r="CX32">
        <v>156</v>
      </c>
      <c r="CY32">
        <v>156</v>
      </c>
      <c r="DK32">
        <v>190</v>
      </c>
      <c r="DL32">
        <v>190</v>
      </c>
      <c r="DM32">
        <v>190</v>
      </c>
      <c r="DN32">
        <v>190</v>
      </c>
      <c r="DO32">
        <v>190</v>
      </c>
      <c r="DP32">
        <v>190</v>
      </c>
      <c r="DQ32">
        <v>190</v>
      </c>
      <c r="DR32">
        <v>190</v>
      </c>
      <c r="DS32">
        <v>190</v>
      </c>
      <c r="DT32">
        <v>190</v>
      </c>
      <c r="DU32">
        <v>190</v>
      </c>
      <c r="EN32">
        <v>34</v>
      </c>
      <c r="EO32">
        <v>34</v>
      </c>
      <c r="EP32">
        <v>34</v>
      </c>
      <c r="EQ32">
        <v>34</v>
      </c>
      <c r="ER32">
        <v>34</v>
      </c>
      <c r="ES32">
        <v>34</v>
      </c>
      <c r="ET32">
        <v>34</v>
      </c>
      <c r="EU32">
        <v>34</v>
      </c>
      <c r="FD32">
        <v>34</v>
      </c>
      <c r="FE32">
        <v>34</v>
      </c>
      <c r="FF32">
        <v>34</v>
      </c>
      <c r="FG32">
        <v>224</v>
      </c>
      <c r="FH32">
        <v>551</v>
      </c>
    </row>
    <row r="33" spans="1:164" x14ac:dyDescent="0.25">
      <c r="A33" s="108" t="s">
        <v>82</v>
      </c>
      <c r="B33">
        <v>51</v>
      </c>
      <c r="C33">
        <v>51</v>
      </c>
      <c r="D33">
        <v>51</v>
      </c>
      <c r="E33">
        <v>51</v>
      </c>
      <c r="F33">
        <v>51</v>
      </c>
      <c r="G33">
        <v>51</v>
      </c>
      <c r="H33">
        <v>51</v>
      </c>
      <c r="I33">
        <v>51</v>
      </c>
      <c r="J33">
        <v>51</v>
      </c>
      <c r="K33">
        <v>51</v>
      </c>
      <c r="L33">
        <v>51</v>
      </c>
      <c r="X33">
        <v>51</v>
      </c>
      <c r="FH33">
        <v>51</v>
      </c>
    </row>
    <row r="34" spans="1:164" x14ac:dyDescent="0.25">
      <c r="A34" s="108" t="s">
        <v>102</v>
      </c>
      <c r="AV34">
        <v>125</v>
      </c>
      <c r="AW34">
        <v>125</v>
      </c>
      <c r="AX34">
        <v>125</v>
      </c>
      <c r="AY34">
        <v>125</v>
      </c>
      <c r="AZ34">
        <v>125</v>
      </c>
      <c r="BA34">
        <v>125</v>
      </c>
      <c r="BB34">
        <v>125</v>
      </c>
      <c r="BC34">
        <v>125</v>
      </c>
      <c r="BD34">
        <v>125</v>
      </c>
      <c r="BE34">
        <v>125</v>
      </c>
      <c r="BF34">
        <v>125</v>
      </c>
      <c r="BG34">
        <v>125</v>
      </c>
      <c r="BH34">
        <v>65</v>
      </c>
      <c r="BI34">
        <v>65</v>
      </c>
      <c r="BJ34">
        <v>65</v>
      </c>
      <c r="BK34">
        <v>65</v>
      </c>
      <c r="BL34">
        <v>65</v>
      </c>
      <c r="BM34">
        <v>65</v>
      </c>
      <c r="BN34">
        <v>65</v>
      </c>
      <c r="BO34">
        <v>65</v>
      </c>
      <c r="BX34">
        <v>65</v>
      </c>
      <c r="BY34">
        <v>65</v>
      </c>
      <c r="BZ34">
        <v>65</v>
      </c>
      <c r="CA34">
        <v>65</v>
      </c>
      <c r="FH34">
        <v>190</v>
      </c>
    </row>
    <row r="35" spans="1:164" x14ac:dyDescent="0.25">
      <c r="A35" s="108" t="s">
        <v>76</v>
      </c>
      <c r="AK35">
        <v>13</v>
      </c>
      <c r="AL35">
        <v>13</v>
      </c>
      <c r="AM35">
        <v>13</v>
      </c>
      <c r="AN35">
        <v>13</v>
      </c>
      <c r="AO35">
        <v>13</v>
      </c>
      <c r="AP35">
        <v>13</v>
      </c>
      <c r="AQ35">
        <v>13</v>
      </c>
      <c r="AR35">
        <v>13</v>
      </c>
      <c r="AS35">
        <v>13</v>
      </c>
      <c r="AT35">
        <v>13</v>
      </c>
      <c r="AU35">
        <v>13</v>
      </c>
      <c r="BG35">
        <v>13</v>
      </c>
      <c r="FH35">
        <v>13</v>
      </c>
    </row>
    <row r="36" spans="1:164" x14ac:dyDescent="0.25">
      <c r="A36" s="108" t="s">
        <v>88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>
        <v>12</v>
      </c>
      <c r="FH36">
        <v>12</v>
      </c>
    </row>
    <row r="37" spans="1:164" x14ac:dyDescent="0.25">
      <c r="A37" s="108" t="s">
        <v>42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</row>
    <row r="38" spans="1:164" x14ac:dyDescent="0.25">
      <c r="A38" s="108" t="s">
        <v>182</v>
      </c>
    </row>
    <row r="39" spans="1:164" x14ac:dyDescent="0.25">
      <c r="A39" s="108" t="s">
        <v>183</v>
      </c>
      <c r="B39">
        <v>51</v>
      </c>
      <c r="C39">
        <v>51</v>
      </c>
      <c r="D39">
        <v>51</v>
      </c>
      <c r="E39">
        <v>51</v>
      </c>
      <c r="F39">
        <v>51</v>
      </c>
      <c r="G39">
        <v>51</v>
      </c>
      <c r="H39">
        <v>51</v>
      </c>
      <c r="I39">
        <v>51</v>
      </c>
      <c r="J39">
        <v>51</v>
      </c>
      <c r="K39">
        <v>51</v>
      </c>
      <c r="L39">
        <v>51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12</v>
      </c>
      <c r="V39">
        <v>12</v>
      </c>
      <c r="W39">
        <v>12</v>
      </c>
      <c r="X39">
        <v>63</v>
      </c>
      <c r="Y39">
        <v>64</v>
      </c>
      <c r="Z39">
        <v>64</v>
      </c>
      <c r="AA39">
        <v>64</v>
      </c>
      <c r="AB39">
        <v>64</v>
      </c>
      <c r="AC39">
        <v>64</v>
      </c>
      <c r="AD39">
        <v>64</v>
      </c>
      <c r="AE39">
        <v>64</v>
      </c>
      <c r="AF39">
        <v>64</v>
      </c>
      <c r="AG39">
        <v>64</v>
      </c>
      <c r="AH39">
        <v>64</v>
      </c>
      <c r="AI39">
        <v>64</v>
      </c>
      <c r="AJ39">
        <v>64</v>
      </c>
      <c r="AK39">
        <v>13</v>
      </c>
      <c r="AL39">
        <v>13</v>
      </c>
      <c r="AM39">
        <v>13</v>
      </c>
      <c r="AN39">
        <v>13</v>
      </c>
      <c r="AO39">
        <v>13</v>
      </c>
      <c r="AP39">
        <v>13</v>
      </c>
      <c r="AQ39">
        <v>13</v>
      </c>
      <c r="AR39">
        <v>13</v>
      </c>
      <c r="AS39">
        <v>13</v>
      </c>
      <c r="AT39">
        <v>13</v>
      </c>
      <c r="AU39">
        <v>13</v>
      </c>
      <c r="AV39">
        <v>125</v>
      </c>
      <c r="AW39">
        <v>125</v>
      </c>
      <c r="AX39">
        <v>125</v>
      </c>
      <c r="AY39">
        <v>125</v>
      </c>
      <c r="AZ39">
        <v>125</v>
      </c>
      <c r="BA39">
        <v>125</v>
      </c>
      <c r="BB39">
        <v>125</v>
      </c>
      <c r="BC39">
        <v>125</v>
      </c>
      <c r="BD39">
        <v>125</v>
      </c>
      <c r="BE39">
        <v>125</v>
      </c>
      <c r="BF39">
        <v>125</v>
      </c>
      <c r="BG39">
        <v>138</v>
      </c>
      <c r="BH39">
        <v>65</v>
      </c>
      <c r="BI39">
        <v>65</v>
      </c>
      <c r="BJ39">
        <v>65</v>
      </c>
      <c r="BK39">
        <v>65</v>
      </c>
      <c r="BL39">
        <v>65</v>
      </c>
      <c r="BM39">
        <v>65</v>
      </c>
      <c r="BN39">
        <v>65</v>
      </c>
      <c r="BO39">
        <v>65</v>
      </c>
      <c r="BP39">
        <v>53</v>
      </c>
      <c r="BQ39">
        <v>53</v>
      </c>
      <c r="BR39">
        <v>53</v>
      </c>
      <c r="BS39">
        <v>53</v>
      </c>
      <c r="BT39">
        <v>53</v>
      </c>
      <c r="BU39">
        <v>53</v>
      </c>
      <c r="BV39">
        <v>53</v>
      </c>
      <c r="BW39">
        <v>53</v>
      </c>
      <c r="BX39">
        <v>118</v>
      </c>
      <c r="BY39">
        <v>118</v>
      </c>
      <c r="BZ39">
        <v>118</v>
      </c>
      <c r="CA39">
        <v>118</v>
      </c>
      <c r="CB39">
        <v>171</v>
      </c>
      <c r="CC39">
        <v>171</v>
      </c>
      <c r="CD39">
        <v>171</v>
      </c>
      <c r="CE39">
        <v>171</v>
      </c>
      <c r="CF39">
        <v>171</v>
      </c>
      <c r="CG39">
        <v>171</v>
      </c>
      <c r="CH39">
        <v>171</v>
      </c>
      <c r="CI39">
        <v>171</v>
      </c>
      <c r="CJ39">
        <v>171</v>
      </c>
      <c r="CK39">
        <v>171</v>
      </c>
      <c r="CL39">
        <v>171</v>
      </c>
      <c r="CM39">
        <v>171</v>
      </c>
      <c r="CN39">
        <v>156</v>
      </c>
      <c r="CO39">
        <v>156</v>
      </c>
      <c r="CP39">
        <v>156</v>
      </c>
      <c r="CQ39">
        <v>156</v>
      </c>
      <c r="CR39">
        <v>156</v>
      </c>
      <c r="CS39">
        <v>156</v>
      </c>
      <c r="CT39">
        <v>156</v>
      </c>
      <c r="CU39">
        <v>156</v>
      </c>
      <c r="CV39">
        <v>156</v>
      </c>
      <c r="CW39">
        <v>156</v>
      </c>
      <c r="CX39">
        <v>156</v>
      </c>
      <c r="CY39">
        <v>156</v>
      </c>
      <c r="CZ39">
        <v>3</v>
      </c>
      <c r="DA39">
        <v>3</v>
      </c>
      <c r="DB39">
        <v>3</v>
      </c>
      <c r="DC39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>
        <v>3</v>
      </c>
      <c r="DK39">
        <v>190</v>
      </c>
      <c r="DL39">
        <v>190</v>
      </c>
      <c r="DM39">
        <v>190</v>
      </c>
      <c r="DN39">
        <v>190</v>
      </c>
      <c r="DO39">
        <v>190</v>
      </c>
      <c r="DP39">
        <v>190</v>
      </c>
      <c r="DQ39">
        <v>190</v>
      </c>
      <c r="DR39">
        <v>190</v>
      </c>
      <c r="DS39">
        <v>190</v>
      </c>
      <c r="DT39">
        <v>190</v>
      </c>
      <c r="DU39">
        <v>190</v>
      </c>
      <c r="DV39">
        <v>45</v>
      </c>
      <c r="DW39">
        <v>45</v>
      </c>
      <c r="DX39">
        <v>45</v>
      </c>
      <c r="DY39">
        <v>45</v>
      </c>
      <c r="DZ39">
        <v>45</v>
      </c>
      <c r="EA39">
        <v>45</v>
      </c>
      <c r="EB39">
        <v>45</v>
      </c>
      <c r="EC39">
        <v>45</v>
      </c>
      <c r="ED39">
        <v>45</v>
      </c>
      <c r="EE39">
        <v>45</v>
      </c>
      <c r="EF39">
        <v>21</v>
      </c>
      <c r="EG39">
        <v>21</v>
      </c>
      <c r="EH39">
        <v>21</v>
      </c>
      <c r="EI39">
        <v>21</v>
      </c>
      <c r="EJ39">
        <v>21</v>
      </c>
      <c r="EK39">
        <v>21</v>
      </c>
      <c r="EL39">
        <v>21</v>
      </c>
      <c r="EM39">
        <v>21</v>
      </c>
      <c r="EN39">
        <v>34</v>
      </c>
      <c r="EO39">
        <v>34</v>
      </c>
      <c r="EP39">
        <v>34</v>
      </c>
      <c r="EQ39">
        <v>34</v>
      </c>
      <c r="ER39">
        <v>34</v>
      </c>
      <c r="ES39">
        <v>34</v>
      </c>
      <c r="ET39">
        <v>34</v>
      </c>
      <c r="EU39">
        <v>34</v>
      </c>
      <c r="EV39">
        <v>1003</v>
      </c>
      <c r="EW39">
        <v>1003</v>
      </c>
      <c r="EX39">
        <v>1003</v>
      </c>
      <c r="EY39">
        <v>1003</v>
      </c>
      <c r="EZ39">
        <v>1003</v>
      </c>
      <c r="FA39">
        <v>1003</v>
      </c>
      <c r="FB39">
        <v>1003</v>
      </c>
      <c r="FC39">
        <v>1003</v>
      </c>
      <c r="FD39">
        <v>1058</v>
      </c>
      <c r="FE39">
        <v>1058</v>
      </c>
      <c r="FF39">
        <v>1103</v>
      </c>
      <c r="FG39">
        <v>1296</v>
      </c>
      <c r="FH39">
        <v>2006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54D6-B789-434E-A8EC-D461F1E1C6DC}">
  <sheetPr filterMode="1"/>
  <dimension ref="A1:AT57"/>
  <sheetViews>
    <sheetView zoomScale="69" zoomScaleNormal="69" workbookViewId="0">
      <selection activeCell="AD41" sqref="AD41"/>
    </sheetView>
  </sheetViews>
  <sheetFormatPr defaultColWidth="8.85546875" defaultRowHeight="12.75" x14ac:dyDescent="0.2"/>
  <cols>
    <col min="1" max="1" width="12.5703125" style="5" customWidth="1"/>
    <col min="2" max="2" width="16.85546875" style="5" bestFit="1" customWidth="1"/>
    <col min="3" max="3" width="15.5703125" style="5" bestFit="1" customWidth="1"/>
    <col min="4" max="4" width="14.42578125" style="5" bestFit="1" customWidth="1"/>
    <col min="5" max="5" width="19" style="5" bestFit="1" customWidth="1"/>
    <col min="6" max="6" width="14.42578125" style="5" customWidth="1"/>
    <col min="7" max="7" width="18" style="5" bestFit="1" customWidth="1"/>
    <col min="8" max="8" width="18.42578125" style="5" bestFit="1" customWidth="1"/>
    <col min="9" max="9" width="16.5703125" style="5" bestFit="1" customWidth="1"/>
    <col min="10" max="10" width="31" style="5" bestFit="1" customWidth="1"/>
    <col min="11" max="11" width="15.140625" style="5" bestFit="1" customWidth="1"/>
    <col min="12" max="12" width="17.5703125" style="5" bestFit="1" customWidth="1"/>
    <col min="13" max="13" width="12.5703125" style="5" customWidth="1"/>
    <col min="14" max="14" width="14.42578125" style="5" bestFit="1" customWidth="1"/>
    <col min="15" max="15" width="14.5703125" style="5" customWidth="1"/>
    <col min="16" max="16" width="12.5703125" style="5" customWidth="1"/>
    <col min="17" max="17" width="8.85546875" style="5"/>
    <col min="18" max="18" width="10.140625" style="5" customWidth="1"/>
    <col min="19" max="19" width="11.5703125" style="5" customWidth="1"/>
    <col min="20" max="20" width="11.42578125" style="5" customWidth="1"/>
    <col min="21" max="21" width="11.140625" style="5" customWidth="1"/>
    <col min="22" max="22" width="11" style="5" customWidth="1"/>
    <col min="23" max="23" width="8.85546875" style="5"/>
    <col min="24" max="24" width="13.7109375" style="5" bestFit="1" customWidth="1"/>
    <col min="25" max="25" width="13.42578125" style="5" bestFit="1" customWidth="1"/>
    <col min="26" max="26" width="13.85546875" style="5" bestFit="1" customWidth="1"/>
    <col min="27" max="27" width="13.7109375" style="5" bestFit="1" customWidth="1"/>
    <col min="28" max="28" width="13.5703125" style="5" bestFit="1" customWidth="1"/>
    <col min="29" max="29" width="13.7109375" style="5" bestFit="1" customWidth="1"/>
    <col min="30" max="30" width="13.5703125" style="5" bestFit="1" customWidth="1"/>
    <col min="31" max="31" width="13.42578125" style="5" bestFit="1" customWidth="1"/>
    <col min="32" max="32" width="13.7109375" style="5" bestFit="1" customWidth="1"/>
    <col min="33" max="33" width="13.7109375" style="5" customWidth="1"/>
    <col min="34" max="34" width="10.42578125" style="5" customWidth="1"/>
    <col min="35" max="35" width="10.42578125" style="5" bestFit="1" customWidth="1"/>
    <col min="36" max="38" width="8.85546875" style="5"/>
    <col min="39" max="39" width="13.7109375" style="5" bestFit="1" customWidth="1"/>
    <col min="40" max="40" width="8.85546875" style="5"/>
    <col min="41" max="41" width="14.140625" style="5" bestFit="1" customWidth="1"/>
    <col min="42" max="42" width="13.85546875" style="5" bestFit="1" customWidth="1"/>
    <col min="43" max="43" width="14.5703125" style="5" bestFit="1" customWidth="1"/>
    <col min="44" max="44" width="14.140625" style="5" bestFit="1" customWidth="1"/>
    <col min="45" max="45" width="13.85546875" style="5" bestFit="1" customWidth="1"/>
    <col min="46" max="16384" width="8.85546875" style="5"/>
  </cols>
  <sheetData>
    <row r="1" spans="1:46" ht="18" x14ac:dyDescent="0.25">
      <c r="A1" s="8" t="s">
        <v>124</v>
      </c>
      <c r="B1"/>
      <c r="C1"/>
      <c r="D1"/>
      <c r="E1"/>
    </row>
    <row r="2" spans="1:46" ht="15" x14ac:dyDescent="0.25">
      <c r="A2" s="9"/>
      <c r="B2"/>
      <c r="C2"/>
      <c r="D2"/>
      <c r="E2"/>
    </row>
    <row r="3" spans="1:46" ht="15" x14ac:dyDescent="0.25">
      <c r="A3" s="9" t="s">
        <v>122</v>
      </c>
      <c r="B3"/>
      <c r="C3"/>
      <c r="D3"/>
      <c r="E3"/>
    </row>
    <row r="4" spans="1:46" ht="15" x14ac:dyDescent="0.25">
      <c r="A4" s="9" t="s">
        <v>123</v>
      </c>
      <c r="B4"/>
      <c r="C4"/>
      <c r="D4"/>
      <c r="E4"/>
    </row>
    <row r="6" spans="1:46" x14ac:dyDescent="0.2">
      <c r="A6" s="129" t="s">
        <v>0</v>
      </c>
      <c r="B6" s="129" t="s">
        <v>1</v>
      </c>
      <c r="C6" s="129" t="s">
        <v>2</v>
      </c>
      <c r="D6" s="129" t="s">
        <v>3</v>
      </c>
      <c r="E6" s="129" t="s">
        <v>4</v>
      </c>
      <c r="F6" s="129" t="s">
        <v>5</v>
      </c>
      <c r="G6" s="129" t="s">
        <v>6</v>
      </c>
      <c r="H6" s="129" t="s">
        <v>7</v>
      </c>
      <c r="I6" s="129" t="s">
        <v>8</v>
      </c>
      <c r="J6" s="129" t="s">
        <v>9</v>
      </c>
      <c r="K6" s="129" t="s">
        <v>10</v>
      </c>
      <c r="L6" s="129" t="s">
        <v>11</v>
      </c>
      <c r="M6" s="129" t="s">
        <v>12</v>
      </c>
      <c r="N6" s="129" t="s">
        <v>13</v>
      </c>
      <c r="O6" s="129" t="s">
        <v>14</v>
      </c>
      <c r="P6" s="129" t="s">
        <v>15</v>
      </c>
      <c r="Q6" s="129" t="s">
        <v>16</v>
      </c>
      <c r="R6" s="129" t="s">
        <v>147</v>
      </c>
      <c r="S6" s="129" t="s">
        <v>18</v>
      </c>
      <c r="T6" s="129" t="s">
        <v>19</v>
      </c>
      <c r="U6" s="125" t="s">
        <v>20</v>
      </c>
      <c r="V6" s="130" t="s">
        <v>21</v>
      </c>
      <c r="W6" s="131" t="s">
        <v>114</v>
      </c>
      <c r="X6" s="109">
        <v>45536</v>
      </c>
      <c r="Y6" s="109">
        <v>45566</v>
      </c>
      <c r="Z6" s="109">
        <v>45597</v>
      </c>
      <c r="AA6" s="109">
        <v>45627</v>
      </c>
      <c r="AB6" s="109">
        <v>45658</v>
      </c>
      <c r="AC6" s="109">
        <v>45689</v>
      </c>
      <c r="AD6" s="109">
        <v>45717</v>
      </c>
      <c r="AE6" s="109">
        <v>45748</v>
      </c>
      <c r="AF6" s="109">
        <v>45778</v>
      </c>
      <c r="AG6" s="109">
        <v>45809</v>
      </c>
      <c r="AH6" s="132" t="s">
        <v>116</v>
      </c>
      <c r="AI6" s="132" t="s">
        <v>117</v>
      </c>
      <c r="AJ6" s="132" t="s">
        <v>118</v>
      </c>
      <c r="AK6" s="132" t="s">
        <v>119</v>
      </c>
      <c r="AL6" s="132" t="s">
        <v>120</v>
      </c>
      <c r="AM6" s="133">
        <v>45992</v>
      </c>
      <c r="AN6" s="119" t="s">
        <v>121</v>
      </c>
      <c r="AO6" s="133">
        <v>46054</v>
      </c>
      <c r="AP6" s="133">
        <v>46082</v>
      </c>
      <c r="AQ6" s="133">
        <v>46113</v>
      </c>
      <c r="AR6" s="133">
        <v>46143</v>
      </c>
      <c r="AS6" s="133">
        <v>46174</v>
      </c>
      <c r="AT6" s="118" t="s">
        <v>115</v>
      </c>
    </row>
    <row r="7" spans="1:46" ht="35.1" hidden="1" customHeight="1" x14ac:dyDescent="0.2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5"/>
      <c r="V7" s="130"/>
      <c r="W7" s="13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32"/>
      <c r="AI7" s="132"/>
      <c r="AJ7" s="132"/>
      <c r="AK7" s="132"/>
      <c r="AL7" s="132"/>
      <c r="AM7" s="119"/>
      <c r="AN7" s="119"/>
      <c r="AO7" s="119"/>
      <c r="AP7" s="119"/>
      <c r="AQ7" s="119"/>
      <c r="AR7" s="119"/>
      <c r="AS7" s="119"/>
      <c r="AT7" s="118"/>
    </row>
    <row r="8" spans="1:46" ht="25.5" hidden="1" x14ac:dyDescent="0.2">
      <c r="A8" s="10" t="s">
        <v>22</v>
      </c>
      <c r="B8" s="11" t="s">
        <v>23</v>
      </c>
      <c r="C8" s="11" t="s">
        <v>24</v>
      </c>
      <c r="D8" s="11" t="s">
        <v>25</v>
      </c>
      <c r="E8" s="11" t="s">
        <v>24</v>
      </c>
      <c r="F8" s="11" t="s">
        <v>23</v>
      </c>
      <c r="G8" s="11" t="s">
        <v>26</v>
      </c>
      <c r="H8" s="11" t="s">
        <v>27</v>
      </c>
      <c r="I8" s="11" t="s">
        <v>27</v>
      </c>
      <c r="J8" s="11" t="s">
        <v>28</v>
      </c>
      <c r="K8" s="11" t="s">
        <v>29</v>
      </c>
      <c r="L8" s="11" t="s">
        <v>30</v>
      </c>
      <c r="M8" s="11" t="s">
        <v>31</v>
      </c>
      <c r="N8" s="11" t="s">
        <v>25</v>
      </c>
      <c r="O8" s="12">
        <v>83</v>
      </c>
      <c r="P8" s="13">
        <v>390</v>
      </c>
      <c r="Q8" s="13"/>
      <c r="R8" s="13">
        <v>0</v>
      </c>
      <c r="S8" s="13">
        <v>450</v>
      </c>
      <c r="T8" s="62">
        <v>840</v>
      </c>
      <c r="U8" s="79" t="s">
        <v>36</v>
      </c>
      <c r="V8" s="71">
        <v>0.3</v>
      </c>
      <c r="W8" s="14">
        <f>SUM(O8)*V8</f>
        <v>24.9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>
        <f>SUM(AH8:AS8)</f>
        <v>0</v>
      </c>
    </row>
    <row r="9" spans="1:46" ht="25.5" hidden="1" x14ac:dyDescent="0.2">
      <c r="A9" s="1" t="s">
        <v>32</v>
      </c>
      <c r="B9" s="2" t="s">
        <v>23</v>
      </c>
      <c r="C9" s="2" t="s">
        <v>24</v>
      </c>
      <c r="D9" s="2" t="s">
        <v>25</v>
      </c>
      <c r="E9" s="2" t="s">
        <v>24</v>
      </c>
      <c r="F9" s="2" t="s">
        <v>23</v>
      </c>
      <c r="G9" s="2" t="s">
        <v>26</v>
      </c>
      <c r="H9" s="2" t="s">
        <v>33</v>
      </c>
      <c r="I9" s="2" t="s">
        <v>33</v>
      </c>
      <c r="J9" s="2" t="s">
        <v>34</v>
      </c>
      <c r="K9" s="2" t="s">
        <v>29</v>
      </c>
      <c r="L9" s="2" t="s">
        <v>30</v>
      </c>
      <c r="M9" s="2" t="s">
        <v>31</v>
      </c>
      <c r="N9" s="2" t="s">
        <v>25</v>
      </c>
      <c r="O9" s="3">
        <v>1</v>
      </c>
      <c r="P9" s="4">
        <v>640</v>
      </c>
      <c r="Q9" s="4"/>
      <c r="R9" s="4">
        <v>0</v>
      </c>
      <c r="S9" s="4">
        <v>600</v>
      </c>
      <c r="T9" s="63">
        <v>1240</v>
      </c>
      <c r="U9" s="80" t="s">
        <v>36</v>
      </c>
      <c r="V9" s="72">
        <v>1</v>
      </c>
      <c r="W9" s="6">
        <f t="shared" ref="W9:W46" si="0">SUM(O9)*V9</f>
        <v>1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>
        <f t="shared" ref="AT9:AT46" si="1">SUM(AH9:AS9)</f>
        <v>0</v>
      </c>
    </row>
    <row r="10" spans="1:46" ht="25.5" hidden="1" x14ac:dyDescent="0.2">
      <c r="A10" s="1" t="s">
        <v>35</v>
      </c>
      <c r="B10" s="2" t="s">
        <v>23</v>
      </c>
      <c r="C10" s="2" t="s">
        <v>24</v>
      </c>
      <c r="D10" s="2" t="s">
        <v>25</v>
      </c>
      <c r="E10" s="2" t="s">
        <v>24</v>
      </c>
      <c r="F10" s="2" t="s">
        <v>23</v>
      </c>
      <c r="G10" s="2" t="s">
        <v>26</v>
      </c>
      <c r="H10" s="2" t="s">
        <v>33</v>
      </c>
      <c r="I10" s="2" t="s">
        <v>33</v>
      </c>
      <c r="J10" s="2" t="s">
        <v>28</v>
      </c>
      <c r="K10" s="2" t="s">
        <v>29</v>
      </c>
      <c r="L10" s="2" t="s">
        <v>30</v>
      </c>
      <c r="M10" s="2" t="s">
        <v>31</v>
      </c>
      <c r="N10" s="2" t="s">
        <v>25</v>
      </c>
      <c r="O10" s="3">
        <v>116</v>
      </c>
      <c r="P10" s="4">
        <v>640</v>
      </c>
      <c r="Q10" s="4"/>
      <c r="R10" s="4">
        <v>0</v>
      </c>
      <c r="S10" s="4">
        <v>600</v>
      </c>
      <c r="T10" s="63">
        <v>1240</v>
      </c>
      <c r="U10" s="80" t="s">
        <v>36</v>
      </c>
      <c r="V10" s="72">
        <v>0.2</v>
      </c>
      <c r="W10" s="6">
        <f t="shared" si="0"/>
        <v>23.200000000000003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>
        <f t="shared" si="1"/>
        <v>0</v>
      </c>
    </row>
    <row r="11" spans="1:46" ht="25.5" hidden="1" x14ac:dyDescent="0.2">
      <c r="A11" s="1" t="s">
        <v>37</v>
      </c>
      <c r="B11" s="2" t="s">
        <v>23</v>
      </c>
      <c r="C11" s="2" t="s">
        <v>24</v>
      </c>
      <c r="D11" s="2" t="s">
        <v>25</v>
      </c>
      <c r="E11" s="2" t="s">
        <v>24</v>
      </c>
      <c r="F11" s="2" t="s">
        <v>23</v>
      </c>
      <c r="G11" s="2" t="s">
        <v>38</v>
      </c>
      <c r="H11" s="2" t="s">
        <v>39</v>
      </c>
      <c r="I11" s="2" t="s">
        <v>39</v>
      </c>
      <c r="J11" s="2" t="s">
        <v>40</v>
      </c>
      <c r="K11" s="2" t="s">
        <v>29</v>
      </c>
      <c r="L11" s="2" t="s">
        <v>30</v>
      </c>
      <c r="M11" s="2" t="s">
        <v>31</v>
      </c>
      <c r="N11" s="2" t="s">
        <v>25</v>
      </c>
      <c r="O11" s="3">
        <v>2</v>
      </c>
      <c r="P11" s="4">
        <v>450</v>
      </c>
      <c r="Q11" s="4"/>
      <c r="R11" s="4">
        <v>0</v>
      </c>
      <c r="S11" s="4">
        <v>1050</v>
      </c>
      <c r="T11" s="63">
        <v>1500</v>
      </c>
      <c r="U11" s="80" t="s">
        <v>36</v>
      </c>
      <c r="V11" s="72">
        <v>1</v>
      </c>
      <c r="W11" s="6">
        <f t="shared" si="0"/>
        <v>2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>
        <f t="shared" si="1"/>
        <v>0</v>
      </c>
    </row>
    <row r="12" spans="1:46" ht="25.5" hidden="1" x14ac:dyDescent="0.2">
      <c r="A12" s="1" t="s">
        <v>41</v>
      </c>
      <c r="B12" s="2" t="s">
        <v>23</v>
      </c>
      <c r="C12" s="2" t="s">
        <v>24</v>
      </c>
      <c r="D12" s="2" t="s">
        <v>25</v>
      </c>
      <c r="E12" s="2" t="s">
        <v>24</v>
      </c>
      <c r="F12" s="2" t="s">
        <v>23</v>
      </c>
      <c r="G12" s="2" t="s">
        <v>38</v>
      </c>
      <c r="H12" s="2" t="s">
        <v>42</v>
      </c>
      <c r="I12" s="2" t="s">
        <v>42</v>
      </c>
      <c r="J12" s="2" t="s">
        <v>43</v>
      </c>
      <c r="K12" s="2" t="s">
        <v>29</v>
      </c>
      <c r="L12" s="2" t="s">
        <v>30</v>
      </c>
      <c r="M12" s="2" t="s">
        <v>31</v>
      </c>
      <c r="N12" s="2" t="s">
        <v>25</v>
      </c>
      <c r="O12" s="3">
        <v>12</v>
      </c>
      <c r="P12" s="4">
        <v>265</v>
      </c>
      <c r="Q12" s="4"/>
      <c r="R12" s="4">
        <v>0</v>
      </c>
      <c r="S12" s="4">
        <v>1200</v>
      </c>
      <c r="T12" s="63">
        <v>1465</v>
      </c>
      <c r="U12" s="80" t="s">
        <v>36</v>
      </c>
      <c r="V12" s="72">
        <v>1</v>
      </c>
      <c r="W12" s="6">
        <f t="shared" si="0"/>
        <v>12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>
        <f t="shared" si="1"/>
        <v>0</v>
      </c>
    </row>
    <row r="13" spans="1:46" ht="25.5" hidden="1" x14ac:dyDescent="0.2">
      <c r="A13" s="1" t="s">
        <v>44</v>
      </c>
      <c r="B13" s="2" t="s">
        <v>23</v>
      </c>
      <c r="C13" s="2" t="s">
        <v>24</v>
      </c>
      <c r="D13" s="2" t="s">
        <v>25</v>
      </c>
      <c r="E13" s="2" t="s">
        <v>24</v>
      </c>
      <c r="F13" s="2" t="s">
        <v>23</v>
      </c>
      <c r="G13" s="2" t="s">
        <v>38</v>
      </c>
      <c r="H13" s="2" t="s">
        <v>42</v>
      </c>
      <c r="I13" s="2" t="s">
        <v>42</v>
      </c>
      <c r="J13" s="2" t="s">
        <v>45</v>
      </c>
      <c r="K13" s="2" t="s">
        <v>29</v>
      </c>
      <c r="L13" s="2" t="s">
        <v>30</v>
      </c>
      <c r="M13" s="2" t="s">
        <v>31</v>
      </c>
      <c r="N13" s="2" t="s">
        <v>25</v>
      </c>
      <c r="O13" s="3">
        <v>152</v>
      </c>
      <c r="P13" s="4">
        <v>265</v>
      </c>
      <c r="Q13" s="4"/>
      <c r="R13" s="4">
        <v>0</v>
      </c>
      <c r="S13" s="4">
        <v>1200</v>
      </c>
      <c r="T13" s="63">
        <v>1500</v>
      </c>
      <c r="U13" s="80" t="s">
        <v>36</v>
      </c>
      <c r="V13" s="72">
        <v>0.28000000000000003</v>
      </c>
      <c r="W13" s="6">
        <f t="shared" si="0"/>
        <v>42.56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>
        <f t="shared" si="1"/>
        <v>0</v>
      </c>
    </row>
    <row r="14" spans="1:46" ht="25.5" hidden="1" x14ac:dyDescent="0.2">
      <c r="A14" s="1" t="s">
        <v>46</v>
      </c>
      <c r="B14" s="2" t="s">
        <v>23</v>
      </c>
      <c r="C14" s="2" t="s">
        <v>24</v>
      </c>
      <c r="D14" s="2" t="s">
        <v>25</v>
      </c>
      <c r="E14" s="2" t="s">
        <v>24</v>
      </c>
      <c r="F14" s="2" t="s">
        <v>23</v>
      </c>
      <c r="G14" s="2" t="s">
        <v>47</v>
      </c>
      <c r="H14" s="2" t="s">
        <v>48</v>
      </c>
      <c r="I14" s="2" t="s">
        <v>48</v>
      </c>
      <c r="J14" s="2" t="s">
        <v>45</v>
      </c>
      <c r="K14" s="2" t="s">
        <v>29</v>
      </c>
      <c r="L14" s="2" t="s">
        <v>30</v>
      </c>
      <c r="M14" s="2" t="s">
        <v>31</v>
      </c>
      <c r="N14" s="2" t="s">
        <v>25</v>
      </c>
      <c r="O14" s="3">
        <v>12</v>
      </c>
      <c r="P14" s="4">
        <v>400</v>
      </c>
      <c r="Q14" s="4"/>
      <c r="R14" s="4">
        <v>0</v>
      </c>
      <c r="S14" s="4">
        <v>850</v>
      </c>
      <c r="T14" s="63">
        <v>1250</v>
      </c>
      <c r="U14" s="80" t="s">
        <v>36</v>
      </c>
      <c r="V14" s="72">
        <v>1</v>
      </c>
      <c r="W14" s="6">
        <f t="shared" si="0"/>
        <v>12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>
        <f t="shared" si="1"/>
        <v>0</v>
      </c>
    </row>
    <row r="15" spans="1:46" ht="25.5" hidden="1" x14ac:dyDescent="0.2">
      <c r="A15" s="1" t="s">
        <v>49</v>
      </c>
      <c r="B15" s="2" t="s">
        <v>23</v>
      </c>
      <c r="C15" s="2" t="s">
        <v>24</v>
      </c>
      <c r="D15" s="2" t="s">
        <v>25</v>
      </c>
      <c r="E15" s="2" t="s">
        <v>24</v>
      </c>
      <c r="F15" s="2" t="s">
        <v>23</v>
      </c>
      <c r="G15" s="2" t="s">
        <v>50</v>
      </c>
      <c r="H15" s="2" t="s">
        <v>51</v>
      </c>
      <c r="I15" s="2" t="s">
        <v>51</v>
      </c>
      <c r="J15" s="2" t="s">
        <v>52</v>
      </c>
      <c r="K15" s="2" t="s">
        <v>29</v>
      </c>
      <c r="L15" s="2" t="s">
        <v>30</v>
      </c>
      <c r="M15" s="2" t="s">
        <v>31</v>
      </c>
      <c r="N15" s="2" t="s">
        <v>25</v>
      </c>
      <c r="O15" s="3">
        <v>48</v>
      </c>
      <c r="P15" s="4">
        <v>480</v>
      </c>
      <c r="Q15" s="4"/>
      <c r="R15" s="4">
        <v>0</v>
      </c>
      <c r="S15" s="4">
        <v>650</v>
      </c>
      <c r="T15" s="63">
        <v>1130</v>
      </c>
      <c r="U15" s="80" t="s">
        <v>36</v>
      </c>
      <c r="V15" s="72">
        <v>0.5</v>
      </c>
      <c r="W15" s="6">
        <f t="shared" si="0"/>
        <v>24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>
        <f t="shared" si="1"/>
        <v>0</v>
      </c>
    </row>
    <row r="16" spans="1:46" ht="25.5" hidden="1" x14ac:dyDescent="0.2">
      <c r="A16" s="1" t="s">
        <v>53</v>
      </c>
      <c r="B16" s="2" t="s">
        <v>23</v>
      </c>
      <c r="C16" s="2" t="s">
        <v>24</v>
      </c>
      <c r="D16" s="2" t="s">
        <v>25</v>
      </c>
      <c r="E16" s="2" t="s">
        <v>24</v>
      </c>
      <c r="F16" s="2" t="s">
        <v>23</v>
      </c>
      <c r="G16" s="2" t="s">
        <v>54</v>
      </c>
      <c r="H16" s="2" t="s">
        <v>55</v>
      </c>
      <c r="I16" s="2" t="s">
        <v>55</v>
      </c>
      <c r="J16" s="2" t="s">
        <v>56</v>
      </c>
      <c r="K16" s="2" t="s">
        <v>29</v>
      </c>
      <c r="L16" s="2" t="s">
        <v>30</v>
      </c>
      <c r="M16" s="2" t="s">
        <v>31</v>
      </c>
      <c r="N16" s="2" t="s">
        <v>25</v>
      </c>
      <c r="O16" s="3">
        <v>8</v>
      </c>
      <c r="P16" s="4">
        <v>700</v>
      </c>
      <c r="Q16" s="4"/>
      <c r="R16" s="4">
        <v>0</v>
      </c>
      <c r="S16" s="4">
        <v>800</v>
      </c>
      <c r="T16" s="63">
        <v>1500</v>
      </c>
      <c r="U16" s="80" t="s">
        <v>36</v>
      </c>
      <c r="V16" s="72">
        <v>1</v>
      </c>
      <c r="W16" s="6">
        <f t="shared" si="0"/>
        <v>8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>
        <f t="shared" si="1"/>
        <v>0</v>
      </c>
    </row>
    <row r="17" spans="1:46" ht="25.5" hidden="1" x14ac:dyDescent="0.2">
      <c r="A17" s="1" t="s">
        <v>57</v>
      </c>
      <c r="B17" s="2" t="s">
        <v>23</v>
      </c>
      <c r="C17" s="2" t="s">
        <v>24</v>
      </c>
      <c r="D17" s="2" t="s">
        <v>25</v>
      </c>
      <c r="E17" s="2" t="s">
        <v>24</v>
      </c>
      <c r="F17" s="2" t="s">
        <v>58</v>
      </c>
      <c r="G17" s="2" t="s">
        <v>59</v>
      </c>
      <c r="H17" s="2" t="s">
        <v>60</v>
      </c>
      <c r="I17" s="2" t="s">
        <v>60</v>
      </c>
      <c r="J17" s="2" t="s">
        <v>61</v>
      </c>
      <c r="K17" s="2" t="s">
        <v>29</v>
      </c>
      <c r="L17" s="2" t="s">
        <v>30</v>
      </c>
      <c r="M17" s="2" t="s">
        <v>31</v>
      </c>
      <c r="N17" s="2" t="s">
        <v>25</v>
      </c>
      <c r="O17" s="3">
        <v>12</v>
      </c>
      <c r="P17" s="4">
        <v>1550</v>
      </c>
      <c r="Q17" s="4"/>
      <c r="R17" s="4">
        <v>0</v>
      </c>
      <c r="S17" s="4">
        <v>825</v>
      </c>
      <c r="T17" s="63">
        <v>2375</v>
      </c>
      <c r="U17" s="80" t="s">
        <v>36</v>
      </c>
      <c r="V17" s="72">
        <v>1</v>
      </c>
      <c r="W17" s="6">
        <f t="shared" si="0"/>
        <v>12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>
        <f t="shared" si="1"/>
        <v>0</v>
      </c>
    </row>
    <row r="18" spans="1:46" ht="25.5" hidden="1" x14ac:dyDescent="0.2">
      <c r="A18" s="1" t="s">
        <v>62</v>
      </c>
      <c r="B18" s="2" t="s">
        <v>23</v>
      </c>
      <c r="C18" s="2" t="s">
        <v>63</v>
      </c>
      <c r="D18" s="2" t="s">
        <v>25</v>
      </c>
      <c r="E18" s="2" t="s">
        <v>63</v>
      </c>
      <c r="F18" s="2" t="s">
        <v>23</v>
      </c>
      <c r="G18" s="2" t="s">
        <v>54</v>
      </c>
      <c r="H18" s="2" t="s">
        <v>64</v>
      </c>
      <c r="I18" s="2" t="s">
        <v>64</v>
      </c>
      <c r="J18" s="2" t="s">
        <v>56</v>
      </c>
      <c r="K18" s="2" t="s">
        <v>29</v>
      </c>
      <c r="L18" s="2" t="s">
        <v>30</v>
      </c>
      <c r="M18" s="2" t="s">
        <v>31</v>
      </c>
      <c r="N18" s="2" t="s">
        <v>25</v>
      </c>
      <c r="O18" s="3">
        <v>1</v>
      </c>
      <c r="P18" s="4">
        <v>700</v>
      </c>
      <c r="Q18" s="4"/>
      <c r="R18" s="4">
        <v>0</v>
      </c>
      <c r="S18" s="4">
        <v>900</v>
      </c>
      <c r="T18" s="63">
        <v>1600</v>
      </c>
      <c r="U18" s="80" t="s">
        <v>36</v>
      </c>
      <c r="V18" s="72">
        <v>1</v>
      </c>
      <c r="W18" s="6">
        <f t="shared" si="0"/>
        <v>1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>
        <f t="shared" si="1"/>
        <v>0</v>
      </c>
    </row>
    <row r="19" spans="1:46" ht="25.5" x14ac:dyDescent="0.2">
      <c r="A19" s="1" t="s">
        <v>213</v>
      </c>
      <c r="B19" s="2" t="s">
        <v>23</v>
      </c>
      <c r="C19" s="2" t="s">
        <v>66</v>
      </c>
      <c r="D19" s="2" t="s">
        <v>67</v>
      </c>
      <c r="E19" s="2" t="s">
        <v>66</v>
      </c>
      <c r="F19" s="2" t="s">
        <v>23</v>
      </c>
      <c r="G19" s="2" t="s">
        <v>85</v>
      </c>
      <c r="H19" s="2" t="s">
        <v>86</v>
      </c>
      <c r="I19" s="2" t="s">
        <v>86</v>
      </c>
      <c r="J19" s="2" t="s">
        <v>70</v>
      </c>
      <c r="K19" s="2" t="s">
        <v>29</v>
      </c>
      <c r="L19" s="2" t="s">
        <v>30</v>
      </c>
      <c r="M19" s="2" t="s">
        <v>31</v>
      </c>
      <c r="N19" s="2" t="s">
        <v>67</v>
      </c>
      <c r="O19" s="3">
        <v>41</v>
      </c>
      <c r="P19" s="4">
        <v>1110</v>
      </c>
      <c r="Q19" s="4"/>
      <c r="R19" s="4">
        <v>0</v>
      </c>
      <c r="S19" s="4">
        <v>1400</v>
      </c>
      <c r="T19" s="63">
        <v>2510</v>
      </c>
      <c r="U19" s="80" t="s">
        <v>36</v>
      </c>
      <c r="V19" s="72">
        <v>0.2</v>
      </c>
      <c r="W19" s="6">
        <f>O19*(1-0.8)</f>
        <v>8.1999999999999975</v>
      </c>
      <c r="X19" s="6"/>
      <c r="Y19" s="6"/>
      <c r="Z19" s="6">
        <v>14</v>
      </c>
      <c r="AA19" s="6">
        <v>14</v>
      </c>
      <c r="AB19" s="6"/>
      <c r="AC19" s="6">
        <v>32</v>
      </c>
      <c r="AD19" s="6">
        <v>46</v>
      </c>
      <c r="AE19" s="6"/>
      <c r="AF19" s="6">
        <v>12</v>
      </c>
      <c r="AG19" s="6">
        <v>28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ht="25.5" x14ac:dyDescent="0.2">
      <c r="A20" s="1" t="s">
        <v>214</v>
      </c>
      <c r="B20" s="2" t="s">
        <v>23</v>
      </c>
      <c r="C20" s="2" t="s">
        <v>66</v>
      </c>
      <c r="D20" s="2" t="s">
        <v>67</v>
      </c>
      <c r="E20" s="2" t="s">
        <v>66</v>
      </c>
      <c r="F20" s="2" t="s">
        <v>58</v>
      </c>
      <c r="G20" s="2" t="s">
        <v>93</v>
      </c>
      <c r="H20" s="2" t="s">
        <v>221</v>
      </c>
      <c r="I20" s="2" t="s">
        <v>223</v>
      </c>
      <c r="J20" s="2" t="s">
        <v>97</v>
      </c>
      <c r="K20" s="2" t="s">
        <v>29</v>
      </c>
      <c r="L20" s="2" t="s">
        <v>30</v>
      </c>
      <c r="M20" s="2" t="s">
        <v>31</v>
      </c>
      <c r="N20" s="2" t="s">
        <v>67</v>
      </c>
      <c r="O20" s="3">
        <v>28</v>
      </c>
      <c r="P20" s="4">
        <v>1810</v>
      </c>
      <c r="Q20" s="4"/>
      <c r="R20" s="4">
        <v>0</v>
      </c>
      <c r="S20" s="4">
        <v>700</v>
      </c>
      <c r="T20" s="63">
        <v>2510</v>
      </c>
      <c r="U20" s="80" t="s">
        <v>36</v>
      </c>
      <c r="V20" s="72">
        <v>0.2</v>
      </c>
      <c r="W20" s="6">
        <f t="shared" ref="W20:W26" si="2">O20*(1-0.8)</f>
        <v>5.5999999999999988</v>
      </c>
      <c r="X20" s="6">
        <v>10</v>
      </c>
      <c r="Y20" s="6">
        <v>63</v>
      </c>
      <c r="Z20" s="6">
        <v>74</v>
      </c>
      <c r="AA20" s="6">
        <v>36</v>
      </c>
      <c r="AB20" s="6">
        <v>48</v>
      </c>
      <c r="AC20" s="6">
        <v>32</v>
      </c>
      <c r="AD20" s="6">
        <v>39</v>
      </c>
      <c r="AE20" s="6">
        <v>95</v>
      </c>
      <c r="AF20" s="6">
        <v>34</v>
      </c>
      <c r="AG20" s="6">
        <v>31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ht="25.5" x14ac:dyDescent="0.2">
      <c r="A21" s="1" t="s">
        <v>215</v>
      </c>
      <c r="B21" s="2" t="s">
        <v>23</v>
      </c>
      <c r="C21" s="2" t="s">
        <v>66</v>
      </c>
      <c r="D21" s="2" t="s">
        <v>67</v>
      </c>
      <c r="E21" s="2" t="s">
        <v>66</v>
      </c>
      <c r="F21" s="2" t="s">
        <v>58</v>
      </c>
      <c r="G21" s="2" t="s">
        <v>93</v>
      </c>
      <c r="H21" s="2" t="s">
        <v>221</v>
      </c>
      <c r="I21" s="2" t="s">
        <v>221</v>
      </c>
      <c r="J21" s="2" t="s">
        <v>97</v>
      </c>
      <c r="K21" s="2" t="s">
        <v>29</v>
      </c>
      <c r="L21" s="2" t="s">
        <v>30</v>
      </c>
      <c r="M21" s="2" t="s">
        <v>31</v>
      </c>
      <c r="N21" s="2" t="s">
        <v>67</v>
      </c>
      <c r="O21" s="3">
        <v>85</v>
      </c>
      <c r="P21" s="4">
        <v>1810</v>
      </c>
      <c r="Q21" s="4"/>
      <c r="R21" s="4">
        <v>0</v>
      </c>
      <c r="S21" s="4">
        <v>700</v>
      </c>
      <c r="T21" s="63">
        <v>2510</v>
      </c>
      <c r="U21" s="80" t="s">
        <v>36</v>
      </c>
      <c r="V21" s="72">
        <v>0.2</v>
      </c>
      <c r="W21" s="6">
        <f t="shared" si="2"/>
        <v>16.999999999999996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ht="25.5" x14ac:dyDescent="0.2">
      <c r="A22" s="1" t="s">
        <v>216</v>
      </c>
      <c r="B22" s="2" t="s">
        <v>23</v>
      </c>
      <c r="C22" s="2" t="s">
        <v>66</v>
      </c>
      <c r="D22" s="2" t="s">
        <v>67</v>
      </c>
      <c r="E22" s="2" t="s">
        <v>66</v>
      </c>
      <c r="F22" s="2" t="s">
        <v>58</v>
      </c>
      <c r="G22" s="2" t="s">
        <v>93</v>
      </c>
      <c r="H22" s="2" t="s">
        <v>102</v>
      </c>
      <c r="I22" s="2" t="s">
        <v>102</v>
      </c>
      <c r="J22" s="2" t="s">
        <v>97</v>
      </c>
      <c r="K22" s="2" t="s">
        <v>29</v>
      </c>
      <c r="L22" s="2" t="s">
        <v>30</v>
      </c>
      <c r="M22" s="2" t="s">
        <v>31</v>
      </c>
      <c r="N22" s="2" t="s">
        <v>67</v>
      </c>
      <c r="O22" s="3">
        <v>92</v>
      </c>
      <c r="P22" s="4">
        <v>1310</v>
      </c>
      <c r="Q22" s="4"/>
      <c r="R22" s="4">
        <v>0</v>
      </c>
      <c r="S22" s="4">
        <v>1000</v>
      </c>
      <c r="T22" s="63">
        <v>2310</v>
      </c>
      <c r="U22" s="80" t="s">
        <v>36</v>
      </c>
      <c r="V22" s="72">
        <v>0.5</v>
      </c>
      <c r="W22" s="6">
        <f>O22*(1-0.5)</f>
        <v>46</v>
      </c>
      <c r="X22" s="6"/>
      <c r="Y22" s="6"/>
      <c r="Z22" s="6"/>
      <c r="AA22" s="6"/>
      <c r="AB22" s="6"/>
      <c r="AC22" s="6"/>
      <c r="AD22" s="6"/>
      <c r="AE22" s="6"/>
      <c r="AF22" s="6"/>
      <c r="AG22" s="6">
        <v>27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ht="25.5" x14ac:dyDescent="0.2">
      <c r="A23" s="1" t="s">
        <v>217</v>
      </c>
      <c r="B23" s="2" t="s">
        <v>23</v>
      </c>
      <c r="C23" s="2" t="s">
        <v>66</v>
      </c>
      <c r="D23" s="2" t="s">
        <v>67</v>
      </c>
      <c r="E23" s="2" t="s">
        <v>66</v>
      </c>
      <c r="F23" s="2" t="s">
        <v>58</v>
      </c>
      <c r="G23" s="2" t="s">
        <v>93</v>
      </c>
      <c r="H23" s="2" t="s">
        <v>169</v>
      </c>
      <c r="I23" s="2" t="s">
        <v>224</v>
      </c>
      <c r="J23" s="2" t="s">
        <v>70</v>
      </c>
      <c r="K23" s="2" t="s">
        <v>29</v>
      </c>
      <c r="L23" s="2" t="s">
        <v>30</v>
      </c>
      <c r="M23" s="2" t="s">
        <v>31</v>
      </c>
      <c r="N23" s="2" t="s">
        <v>67</v>
      </c>
      <c r="O23" s="3">
        <v>4</v>
      </c>
      <c r="P23" s="4">
        <v>1500</v>
      </c>
      <c r="Q23" s="4"/>
      <c r="R23" s="4">
        <v>0</v>
      </c>
      <c r="S23" s="4">
        <v>1400</v>
      </c>
      <c r="T23" s="63">
        <v>2900</v>
      </c>
      <c r="U23" s="80" t="s">
        <v>36</v>
      </c>
      <c r="V23" s="72">
        <v>1</v>
      </c>
      <c r="W23" s="6">
        <f>O23</f>
        <v>4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25.5" x14ac:dyDescent="0.2">
      <c r="A24" s="1" t="s">
        <v>218</v>
      </c>
      <c r="B24" s="2" t="s">
        <v>23</v>
      </c>
      <c r="C24" s="2" t="s">
        <v>66</v>
      </c>
      <c r="D24" s="2" t="s">
        <v>67</v>
      </c>
      <c r="E24" s="2" t="s">
        <v>66</v>
      </c>
      <c r="F24" s="2" t="s">
        <v>23</v>
      </c>
      <c r="G24" s="2" t="s">
        <v>85</v>
      </c>
      <c r="H24" s="2" t="s">
        <v>86</v>
      </c>
      <c r="I24" s="2" t="s">
        <v>86</v>
      </c>
      <c r="J24" s="2" t="s">
        <v>70</v>
      </c>
      <c r="K24" s="2" t="s">
        <v>29</v>
      </c>
      <c r="L24" s="2" t="s">
        <v>30</v>
      </c>
      <c r="M24" s="2" t="s">
        <v>31</v>
      </c>
      <c r="N24" s="2" t="s">
        <v>67</v>
      </c>
      <c r="O24" s="3">
        <v>16</v>
      </c>
      <c r="P24" s="4">
        <v>1110</v>
      </c>
      <c r="Q24" s="4"/>
      <c r="R24" s="4">
        <v>0</v>
      </c>
      <c r="S24" s="4">
        <v>1400</v>
      </c>
      <c r="T24" s="63">
        <v>2510</v>
      </c>
      <c r="U24" s="80" t="s">
        <v>36</v>
      </c>
      <c r="V24" s="72">
        <v>0.2</v>
      </c>
      <c r="W24" s="6">
        <f t="shared" si="2"/>
        <v>3.1999999999999993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25.5" x14ac:dyDescent="0.2">
      <c r="A25" s="1" t="s">
        <v>219</v>
      </c>
      <c r="B25" s="2" t="s">
        <v>23</v>
      </c>
      <c r="C25" s="2" t="s">
        <v>66</v>
      </c>
      <c r="D25" s="2" t="s">
        <v>67</v>
      </c>
      <c r="E25" s="2" t="s">
        <v>66</v>
      </c>
      <c r="F25" s="2" t="s">
        <v>23</v>
      </c>
      <c r="G25" s="2" t="s">
        <v>47</v>
      </c>
      <c r="H25" s="2" t="s">
        <v>222</v>
      </c>
      <c r="I25" s="2" t="s">
        <v>178</v>
      </c>
      <c r="J25" s="2" t="s">
        <v>70</v>
      </c>
      <c r="K25" s="2" t="s">
        <v>29</v>
      </c>
      <c r="L25" s="2" t="s">
        <v>30</v>
      </c>
      <c r="M25" s="2" t="s">
        <v>31</v>
      </c>
      <c r="N25" s="2" t="s">
        <v>67</v>
      </c>
      <c r="O25" s="3">
        <v>55</v>
      </c>
      <c r="P25" s="4">
        <v>680</v>
      </c>
      <c r="Q25" s="4"/>
      <c r="R25" s="4">
        <v>0</v>
      </c>
      <c r="S25" s="4">
        <v>650</v>
      </c>
      <c r="T25" s="63">
        <v>1330</v>
      </c>
      <c r="U25" s="80" t="s">
        <v>36</v>
      </c>
      <c r="V25" s="72">
        <v>0.2</v>
      </c>
      <c r="W25" s="6">
        <f t="shared" si="2"/>
        <v>10.999999999999998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ht="25.5" x14ac:dyDescent="0.2">
      <c r="A26" s="1" t="s">
        <v>220</v>
      </c>
      <c r="B26" s="2" t="s">
        <v>23</v>
      </c>
      <c r="C26" s="2" t="s">
        <v>66</v>
      </c>
      <c r="D26" s="2" t="s">
        <v>67</v>
      </c>
      <c r="E26" s="2" t="s">
        <v>66</v>
      </c>
      <c r="F26" s="2" t="s">
        <v>23</v>
      </c>
      <c r="G26" s="2" t="s">
        <v>85</v>
      </c>
      <c r="H26" s="2" t="s">
        <v>86</v>
      </c>
      <c r="I26" s="2" t="s">
        <v>86</v>
      </c>
      <c r="J26" s="2" t="s">
        <v>70</v>
      </c>
      <c r="K26" s="2" t="s">
        <v>29</v>
      </c>
      <c r="L26" s="2" t="s">
        <v>30</v>
      </c>
      <c r="M26" s="2" t="s">
        <v>31</v>
      </c>
      <c r="N26" s="2" t="s">
        <v>67</v>
      </c>
      <c r="O26" s="3">
        <v>10</v>
      </c>
      <c r="P26" s="4">
        <v>1110</v>
      </c>
      <c r="Q26" s="4"/>
      <c r="R26" s="4">
        <v>0</v>
      </c>
      <c r="S26" s="4">
        <v>1400</v>
      </c>
      <c r="T26" s="63">
        <v>2510</v>
      </c>
      <c r="U26" s="80" t="s">
        <v>36</v>
      </c>
      <c r="V26" s="72">
        <v>0.2</v>
      </c>
      <c r="W26" s="6">
        <f t="shared" si="2"/>
        <v>1.9999999999999996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 ht="25.5" x14ac:dyDescent="0.2">
      <c r="A27" s="1" t="s">
        <v>65</v>
      </c>
      <c r="B27" s="2" t="s">
        <v>23</v>
      </c>
      <c r="C27" s="2" t="s">
        <v>66</v>
      </c>
      <c r="D27" s="2" t="s">
        <v>67</v>
      </c>
      <c r="E27" s="2" t="s">
        <v>66</v>
      </c>
      <c r="F27" s="2" t="s">
        <v>23</v>
      </c>
      <c r="G27" s="2" t="s">
        <v>68</v>
      </c>
      <c r="H27" s="2" t="s">
        <v>69</v>
      </c>
      <c r="I27" s="2" t="s">
        <v>69</v>
      </c>
      <c r="J27" s="2" t="s">
        <v>70</v>
      </c>
      <c r="K27" s="2" t="s">
        <v>29</v>
      </c>
      <c r="L27" s="2" t="s">
        <v>30</v>
      </c>
      <c r="M27" s="2" t="s">
        <v>31</v>
      </c>
      <c r="N27" s="2" t="s">
        <v>67</v>
      </c>
      <c r="O27" s="3">
        <v>12</v>
      </c>
      <c r="P27" s="4">
        <v>1200</v>
      </c>
      <c r="Q27" s="4"/>
      <c r="R27" s="4">
        <v>0</v>
      </c>
      <c r="S27" s="4">
        <v>1770</v>
      </c>
      <c r="T27" s="63">
        <v>2970</v>
      </c>
      <c r="U27" s="80" t="s">
        <v>36</v>
      </c>
      <c r="V27" s="72">
        <v>0.3</v>
      </c>
      <c r="W27" s="6">
        <f>SUM(O27)*V27</f>
        <v>3.5999999999999996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>
        <f t="shared" si="1"/>
        <v>0</v>
      </c>
    </row>
    <row r="28" spans="1:46" ht="25.5" x14ac:dyDescent="0.2">
      <c r="A28" s="1" t="s">
        <v>71</v>
      </c>
      <c r="B28" s="2" t="s">
        <v>23</v>
      </c>
      <c r="C28" s="2" t="s">
        <v>66</v>
      </c>
      <c r="D28" s="2" t="s">
        <v>67</v>
      </c>
      <c r="E28" s="2" t="s">
        <v>66</v>
      </c>
      <c r="F28" s="2" t="s">
        <v>23</v>
      </c>
      <c r="G28" s="2" t="s">
        <v>68</v>
      </c>
      <c r="H28" s="2" t="s">
        <v>72</v>
      </c>
      <c r="I28" s="2" t="s">
        <v>72</v>
      </c>
      <c r="J28" s="2" t="s">
        <v>70</v>
      </c>
      <c r="K28" s="2" t="s">
        <v>29</v>
      </c>
      <c r="L28" s="2" t="s">
        <v>30</v>
      </c>
      <c r="M28" s="2" t="s">
        <v>31</v>
      </c>
      <c r="N28" s="2" t="s">
        <v>67</v>
      </c>
      <c r="O28" s="3">
        <v>19</v>
      </c>
      <c r="P28" s="4">
        <v>1200</v>
      </c>
      <c r="Q28" s="4"/>
      <c r="R28" s="4">
        <v>0</v>
      </c>
      <c r="S28" s="4">
        <v>1470</v>
      </c>
      <c r="T28" s="63">
        <v>2670</v>
      </c>
      <c r="U28" s="80" t="s">
        <v>36</v>
      </c>
      <c r="V28" s="72">
        <v>0.3</v>
      </c>
      <c r="W28" s="6">
        <f t="shared" si="0"/>
        <v>5.7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>
        <f t="shared" si="1"/>
        <v>0</v>
      </c>
    </row>
    <row r="29" spans="1:46" ht="25.5" x14ac:dyDescent="0.2">
      <c r="A29" s="1" t="s">
        <v>73</v>
      </c>
      <c r="B29" s="2" t="s">
        <v>23</v>
      </c>
      <c r="C29" s="2" t="s">
        <v>66</v>
      </c>
      <c r="D29" s="2" t="s">
        <v>67</v>
      </c>
      <c r="E29" s="2" t="s">
        <v>66</v>
      </c>
      <c r="F29" s="2" t="s">
        <v>23</v>
      </c>
      <c r="G29" s="2" t="s">
        <v>68</v>
      </c>
      <c r="H29" s="2" t="s">
        <v>74</v>
      </c>
      <c r="I29" s="2" t="s">
        <v>74</v>
      </c>
      <c r="J29" s="2" t="s">
        <v>70</v>
      </c>
      <c r="K29" s="2" t="s">
        <v>29</v>
      </c>
      <c r="L29" s="2" t="s">
        <v>30</v>
      </c>
      <c r="M29" s="2" t="s">
        <v>31</v>
      </c>
      <c r="N29" s="2" t="s">
        <v>67</v>
      </c>
      <c r="O29" s="3">
        <v>37</v>
      </c>
      <c r="P29" s="4">
        <v>1200</v>
      </c>
      <c r="Q29" s="4"/>
      <c r="R29" s="4">
        <v>0</v>
      </c>
      <c r="S29" s="4">
        <v>1670</v>
      </c>
      <c r="T29" s="63">
        <v>2870</v>
      </c>
      <c r="U29" s="80" t="s">
        <v>36</v>
      </c>
      <c r="V29" s="72">
        <v>0.3</v>
      </c>
      <c r="W29" s="6">
        <f t="shared" si="0"/>
        <v>11.1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7"/>
      <c r="AI29" s="7">
        <v>3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>
        <f t="shared" si="1"/>
        <v>3</v>
      </c>
    </row>
    <row r="30" spans="1:46" ht="27" customHeight="1" x14ac:dyDescent="0.2">
      <c r="A30" s="1" t="s">
        <v>75</v>
      </c>
      <c r="B30" s="2" t="s">
        <v>23</v>
      </c>
      <c r="C30" s="2" t="s">
        <v>66</v>
      </c>
      <c r="D30" s="2" t="s">
        <v>67</v>
      </c>
      <c r="E30" s="2" t="s">
        <v>66</v>
      </c>
      <c r="F30" s="2" t="s">
        <v>23</v>
      </c>
      <c r="G30" s="2" t="s">
        <v>68</v>
      </c>
      <c r="H30" s="2" t="s">
        <v>76</v>
      </c>
      <c r="I30" s="2" t="s">
        <v>76</v>
      </c>
      <c r="J30" s="2" t="s">
        <v>70</v>
      </c>
      <c r="K30" s="2" t="s">
        <v>29</v>
      </c>
      <c r="L30" s="2" t="s">
        <v>30</v>
      </c>
      <c r="M30" s="2" t="s">
        <v>31</v>
      </c>
      <c r="N30" s="2" t="s">
        <v>67</v>
      </c>
      <c r="O30" s="3">
        <v>116</v>
      </c>
      <c r="P30" s="4">
        <v>1200</v>
      </c>
      <c r="Q30" s="4"/>
      <c r="R30" s="4">
        <v>0</v>
      </c>
      <c r="S30" s="4">
        <v>1570</v>
      </c>
      <c r="T30" s="63">
        <v>2770</v>
      </c>
      <c r="U30" s="80" t="s">
        <v>36</v>
      </c>
      <c r="V30" s="72">
        <v>0.3</v>
      </c>
      <c r="W30" s="6">
        <f t="shared" si="0"/>
        <v>34.799999999999997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7">
        <v>3</v>
      </c>
      <c r="AI30" s="7">
        <v>6</v>
      </c>
      <c r="AJ30" s="7"/>
      <c r="AK30" s="7"/>
      <c r="AL30" s="7"/>
      <c r="AM30" s="7">
        <v>4</v>
      </c>
      <c r="AN30" s="7"/>
      <c r="AO30" s="7"/>
      <c r="AP30" s="7"/>
      <c r="AQ30" s="7"/>
      <c r="AR30" s="7"/>
      <c r="AS30" s="7"/>
      <c r="AT30" s="7">
        <f t="shared" si="1"/>
        <v>13</v>
      </c>
    </row>
    <row r="31" spans="1:46" ht="25.5" x14ac:dyDescent="0.2">
      <c r="A31" s="1" t="s">
        <v>77</v>
      </c>
      <c r="B31" s="2" t="s">
        <v>23</v>
      </c>
      <c r="C31" s="2" t="s">
        <v>66</v>
      </c>
      <c r="D31" s="2" t="s">
        <v>67</v>
      </c>
      <c r="E31" s="2" t="s">
        <v>66</v>
      </c>
      <c r="F31" s="2" t="s">
        <v>23</v>
      </c>
      <c r="G31" s="2" t="s">
        <v>78</v>
      </c>
      <c r="H31" s="2" t="s">
        <v>79</v>
      </c>
      <c r="I31" s="2" t="s">
        <v>79</v>
      </c>
      <c r="J31" s="2" t="s">
        <v>70</v>
      </c>
      <c r="K31" s="2" t="s">
        <v>29</v>
      </c>
      <c r="L31" s="2" t="s">
        <v>30</v>
      </c>
      <c r="M31" s="2" t="s">
        <v>31</v>
      </c>
      <c r="N31" s="2" t="s">
        <v>67</v>
      </c>
      <c r="O31" s="3">
        <v>300</v>
      </c>
      <c r="P31" s="4">
        <v>250</v>
      </c>
      <c r="Q31" s="4"/>
      <c r="R31" s="4">
        <v>0</v>
      </c>
      <c r="S31" s="4">
        <v>550</v>
      </c>
      <c r="T31" s="63">
        <v>800</v>
      </c>
      <c r="U31" s="80" t="s">
        <v>36</v>
      </c>
      <c r="V31" s="72">
        <v>0.2</v>
      </c>
      <c r="W31" s="6">
        <f t="shared" si="0"/>
        <v>60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7"/>
      <c r="AI31" s="7"/>
      <c r="AJ31" s="7">
        <v>5</v>
      </c>
      <c r="AK31" s="7"/>
      <c r="AL31" s="7"/>
      <c r="AM31" s="7"/>
      <c r="AN31" s="7"/>
      <c r="AO31" s="7"/>
      <c r="AP31" s="7"/>
      <c r="AQ31" s="7">
        <v>8</v>
      </c>
      <c r="AR31" s="7">
        <v>20</v>
      </c>
      <c r="AS31" s="7">
        <v>12</v>
      </c>
      <c r="AT31" s="7">
        <f t="shared" si="1"/>
        <v>45</v>
      </c>
    </row>
    <row r="32" spans="1:46" ht="25.5" x14ac:dyDescent="0.2">
      <c r="A32" s="1" t="s">
        <v>80</v>
      </c>
      <c r="B32" s="2" t="s">
        <v>23</v>
      </c>
      <c r="C32" s="2" t="s">
        <v>66</v>
      </c>
      <c r="D32" s="2" t="s">
        <v>67</v>
      </c>
      <c r="E32" s="2" t="s">
        <v>66</v>
      </c>
      <c r="F32" s="2" t="s">
        <v>23</v>
      </c>
      <c r="G32" s="2" t="s">
        <v>81</v>
      </c>
      <c r="H32" s="2" t="s">
        <v>82</v>
      </c>
      <c r="I32" s="2" t="s">
        <v>82</v>
      </c>
      <c r="J32" s="2" t="s">
        <v>83</v>
      </c>
      <c r="K32" s="2" t="s">
        <v>29</v>
      </c>
      <c r="L32" s="2" t="s">
        <v>30</v>
      </c>
      <c r="M32" s="2" t="s">
        <v>31</v>
      </c>
      <c r="N32" s="2" t="s">
        <v>67</v>
      </c>
      <c r="O32" s="3">
        <v>24</v>
      </c>
      <c r="P32" s="4">
        <v>360</v>
      </c>
      <c r="Q32" s="4"/>
      <c r="R32" s="4">
        <v>0</v>
      </c>
      <c r="S32" s="4">
        <v>770</v>
      </c>
      <c r="T32" s="63">
        <v>1130</v>
      </c>
      <c r="U32" s="80" t="s">
        <v>36</v>
      </c>
      <c r="V32" s="72">
        <v>0.5</v>
      </c>
      <c r="W32" s="6">
        <f t="shared" si="0"/>
        <v>12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7">
        <v>1</v>
      </c>
      <c r="AI32" s="7">
        <v>1</v>
      </c>
      <c r="AJ32" s="7">
        <v>4</v>
      </c>
      <c r="AK32" s="7">
        <v>5</v>
      </c>
      <c r="AL32" s="7">
        <v>8</v>
      </c>
      <c r="AM32" s="7">
        <v>4</v>
      </c>
      <c r="AN32" s="7">
        <v>5</v>
      </c>
      <c r="AO32" s="7">
        <v>4</v>
      </c>
      <c r="AP32" s="7"/>
      <c r="AQ32" s="7">
        <v>5</v>
      </c>
      <c r="AR32" s="7">
        <v>6</v>
      </c>
      <c r="AS32" s="7">
        <v>8</v>
      </c>
      <c r="AT32" s="7">
        <f t="shared" si="1"/>
        <v>51</v>
      </c>
    </row>
    <row r="33" spans="1:46" ht="25.5" x14ac:dyDescent="0.2">
      <c r="A33" s="1" t="s">
        <v>84</v>
      </c>
      <c r="B33" s="2" t="s">
        <v>23</v>
      </c>
      <c r="C33" s="2" t="s">
        <v>66</v>
      </c>
      <c r="D33" s="2" t="s">
        <v>67</v>
      </c>
      <c r="E33" s="2" t="s">
        <v>66</v>
      </c>
      <c r="F33" s="2" t="s">
        <v>23</v>
      </c>
      <c r="G33" s="2" t="s">
        <v>85</v>
      </c>
      <c r="H33" s="2" t="s">
        <v>86</v>
      </c>
      <c r="I33" s="2" t="s">
        <v>86</v>
      </c>
      <c r="J33" s="2" t="s">
        <v>70</v>
      </c>
      <c r="K33" s="2" t="s">
        <v>29</v>
      </c>
      <c r="L33" s="2" t="s">
        <v>30</v>
      </c>
      <c r="M33" s="2" t="s">
        <v>31</v>
      </c>
      <c r="N33" s="2" t="s">
        <v>67</v>
      </c>
      <c r="O33" s="3">
        <v>69</v>
      </c>
      <c r="P33" s="4">
        <v>1350</v>
      </c>
      <c r="Q33" s="4"/>
      <c r="R33" s="4">
        <v>0</v>
      </c>
      <c r="S33" s="4">
        <v>1470</v>
      </c>
      <c r="T33" s="63">
        <v>2820</v>
      </c>
      <c r="U33" s="80" t="s">
        <v>36</v>
      </c>
      <c r="V33" s="72">
        <v>1</v>
      </c>
      <c r="W33" s="6">
        <f t="shared" si="0"/>
        <v>69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7">
        <v>2</v>
      </c>
      <c r="AI33" s="7">
        <v>6</v>
      </c>
      <c r="AJ33" s="7">
        <v>10</v>
      </c>
      <c r="AK33" s="5">
        <v>8</v>
      </c>
      <c r="AL33" s="7">
        <v>2</v>
      </c>
      <c r="AM33" s="7">
        <v>2</v>
      </c>
      <c r="AN33" s="7">
        <v>8</v>
      </c>
      <c r="AO33" s="7">
        <v>2</v>
      </c>
      <c r="AP33" s="7">
        <v>10</v>
      </c>
      <c r="AQ33" s="7">
        <v>4</v>
      </c>
      <c r="AR33" s="7"/>
      <c r="AS33" s="7">
        <v>10</v>
      </c>
      <c r="AT33" s="7">
        <f t="shared" si="1"/>
        <v>64</v>
      </c>
    </row>
    <row r="34" spans="1:46" ht="25.5" x14ac:dyDescent="0.2">
      <c r="A34" s="1" t="s">
        <v>87</v>
      </c>
      <c r="B34" s="2" t="s">
        <v>23</v>
      </c>
      <c r="C34" s="2" t="s">
        <v>66</v>
      </c>
      <c r="D34" s="2" t="s">
        <v>67</v>
      </c>
      <c r="E34" s="2" t="s">
        <v>66</v>
      </c>
      <c r="F34" s="2" t="s">
        <v>23</v>
      </c>
      <c r="G34" s="2" t="s">
        <v>85</v>
      </c>
      <c r="H34" s="2" t="s">
        <v>88</v>
      </c>
      <c r="I34" s="2" t="s">
        <v>88</v>
      </c>
      <c r="J34" s="2" t="s">
        <v>89</v>
      </c>
      <c r="K34" s="2" t="s">
        <v>29</v>
      </c>
      <c r="L34" s="2" t="s">
        <v>30</v>
      </c>
      <c r="M34" s="2" t="s">
        <v>31</v>
      </c>
      <c r="N34" s="2" t="s">
        <v>67</v>
      </c>
      <c r="O34" s="3">
        <v>14</v>
      </c>
      <c r="P34" s="4">
        <v>1350</v>
      </c>
      <c r="Q34" s="4"/>
      <c r="R34" s="4">
        <v>0</v>
      </c>
      <c r="S34" s="4">
        <v>2370</v>
      </c>
      <c r="T34" s="63">
        <v>3720</v>
      </c>
      <c r="U34" s="80" t="s">
        <v>36</v>
      </c>
      <c r="V34" s="72">
        <v>1</v>
      </c>
      <c r="W34" s="6">
        <f t="shared" si="0"/>
        <v>14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7">
        <v>1</v>
      </c>
      <c r="AI34" s="7"/>
      <c r="AJ34" s="7">
        <v>1</v>
      </c>
      <c r="AK34" s="7"/>
      <c r="AL34" s="7"/>
      <c r="AM34" s="7">
        <v>1</v>
      </c>
      <c r="AN34" s="7">
        <v>2</v>
      </c>
      <c r="AO34" s="7">
        <v>1</v>
      </c>
      <c r="AP34" s="7">
        <v>1</v>
      </c>
      <c r="AQ34" s="7">
        <v>2</v>
      </c>
      <c r="AR34" s="7">
        <v>2</v>
      </c>
      <c r="AS34" s="7">
        <v>1</v>
      </c>
      <c r="AT34" s="7">
        <f t="shared" si="1"/>
        <v>12</v>
      </c>
    </row>
    <row r="35" spans="1:46" ht="25.5" x14ac:dyDescent="0.2">
      <c r="A35" s="1" t="s">
        <v>90</v>
      </c>
      <c r="B35" s="2" t="s">
        <v>23</v>
      </c>
      <c r="C35" s="2" t="s">
        <v>66</v>
      </c>
      <c r="D35" s="2" t="s">
        <v>67</v>
      </c>
      <c r="E35" s="2" t="s">
        <v>66</v>
      </c>
      <c r="F35" s="2" t="s">
        <v>23</v>
      </c>
      <c r="G35" s="2" t="s">
        <v>54</v>
      </c>
      <c r="H35" s="2" t="s">
        <v>55</v>
      </c>
      <c r="I35" s="2" t="s">
        <v>55</v>
      </c>
      <c r="J35" s="2" t="s">
        <v>83</v>
      </c>
      <c r="K35" s="2" t="s">
        <v>29</v>
      </c>
      <c r="L35" s="2" t="s">
        <v>30</v>
      </c>
      <c r="M35" s="2" t="s">
        <v>31</v>
      </c>
      <c r="N35" s="2" t="s">
        <v>67</v>
      </c>
      <c r="O35" s="3">
        <v>12</v>
      </c>
      <c r="P35" s="4">
        <v>190</v>
      </c>
      <c r="Q35" s="4"/>
      <c r="R35" s="4">
        <v>0</v>
      </c>
      <c r="S35" s="4">
        <v>820</v>
      </c>
      <c r="T35" s="63">
        <v>1010</v>
      </c>
      <c r="U35" s="80" t="s">
        <v>36</v>
      </c>
      <c r="V35" s="72">
        <v>1</v>
      </c>
      <c r="W35" s="6">
        <f t="shared" si="0"/>
        <v>12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7">
        <v>4</v>
      </c>
      <c r="AI35" s="7">
        <v>2</v>
      </c>
      <c r="AJ35" s="7">
        <v>3</v>
      </c>
      <c r="AK35" s="7"/>
      <c r="AL35" s="7"/>
      <c r="AM35" s="7">
        <v>7</v>
      </c>
      <c r="AN35" s="7">
        <v>10</v>
      </c>
      <c r="AO35" s="7"/>
      <c r="AP35" s="7"/>
      <c r="AQ35" s="7">
        <v>7</v>
      </c>
      <c r="AR35" s="7">
        <v>11</v>
      </c>
      <c r="AS35" s="7">
        <v>9</v>
      </c>
      <c r="AT35" s="7">
        <f t="shared" si="1"/>
        <v>53</v>
      </c>
    </row>
    <row r="36" spans="1:46" ht="25.5" x14ac:dyDescent="0.2">
      <c r="A36" s="1" t="s">
        <v>91</v>
      </c>
      <c r="B36" s="2" t="s">
        <v>23</v>
      </c>
      <c r="C36" s="2" t="s">
        <v>66</v>
      </c>
      <c r="D36" s="2" t="s">
        <v>67</v>
      </c>
      <c r="E36" s="2" t="s">
        <v>66</v>
      </c>
      <c r="F36" s="2" t="s">
        <v>23</v>
      </c>
      <c r="G36" s="2" t="s">
        <v>54</v>
      </c>
      <c r="H36" s="2" t="s">
        <v>55</v>
      </c>
      <c r="I36" s="2" t="s">
        <v>55</v>
      </c>
      <c r="J36" s="2" t="s">
        <v>70</v>
      </c>
      <c r="K36" s="2" t="s">
        <v>29</v>
      </c>
      <c r="L36" s="2" t="s">
        <v>30</v>
      </c>
      <c r="M36" s="2" t="s">
        <v>31</v>
      </c>
      <c r="N36" s="2" t="s">
        <v>67</v>
      </c>
      <c r="O36" s="3">
        <v>41</v>
      </c>
      <c r="P36" s="4">
        <v>190</v>
      </c>
      <c r="Q36" s="4"/>
      <c r="R36" s="4">
        <v>0</v>
      </c>
      <c r="S36" s="4">
        <v>820</v>
      </c>
      <c r="T36" s="63">
        <v>1010</v>
      </c>
      <c r="U36" s="80" t="s">
        <v>36</v>
      </c>
      <c r="V36" s="72">
        <v>0.2</v>
      </c>
      <c r="W36" s="6">
        <f t="shared" si="0"/>
        <v>8.2000000000000011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7"/>
      <c r="AI36" s="7"/>
      <c r="AJ36" s="7"/>
      <c r="AK36" s="7"/>
      <c r="AL36" s="7">
        <v>8</v>
      </c>
      <c r="AM36" s="7"/>
      <c r="AN36" s="7"/>
      <c r="AO36" s="7">
        <v>6</v>
      </c>
      <c r="AP36" s="7">
        <v>7</v>
      </c>
      <c r="AQ36" s="7"/>
      <c r="AR36" s="7"/>
      <c r="AS36" s="7"/>
      <c r="AT36" s="7">
        <f t="shared" si="1"/>
        <v>21</v>
      </c>
    </row>
    <row r="37" spans="1:46" ht="25.5" x14ac:dyDescent="0.2">
      <c r="A37" s="1" t="s">
        <v>92</v>
      </c>
      <c r="B37" s="2" t="s">
        <v>23</v>
      </c>
      <c r="C37" s="2" t="s">
        <v>66</v>
      </c>
      <c r="D37" s="2" t="s">
        <v>67</v>
      </c>
      <c r="E37" s="2" t="s">
        <v>66</v>
      </c>
      <c r="F37" s="2" t="s">
        <v>58</v>
      </c>
      <c r="G37" s="2" t="s">
        <v>93</v>
      </c>
      <c r="H37" s="2" t="s">
        <v>94</v>
      </c>
      <c r="I37" s="2" t="s">
        <v>94</v>
      </c>
      <c r="J37" s="2" t="s">
        <v>95</v>
      </c>
      <c r="K37" s="2" t="s">
        <v>29</v>
      </c>
      <c r="L37" s="2" t="s">
        <v>30</v>
      </c>
      <c r="M37" s="2" t="s">
        <v>31</v>
      </c>
      <c r="N37" s="2" t="s">
        <v>67</v>
      </c>
      <c r="O37" s="3">
        <v>116</v>
      </c>
      <c r="P37" s="4">
        <v>1075</v>
      </c>
      <c r="Q37" s="4"/>
      <c r="R37" s="4">
        <v>0</v>
      </c>
      <c r="S37" s="4">
        <v>775</v>
      </c>
      <c r="T37" s="63">
        <v>1850</v>
      </c>
      <c r="U37" s="80" t="s">
        <v>36</v>
      </c>
      <c r="V37" s="72">
        <v>0.5</v>
      </c>
      <c r="W37" s="6">
        <f t="shared" si="0"/>
        <v>58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7">
        <v>10</v>
      </c>
      <c r="AI37" s="7">
        <v>10</v>
      </c>
      <c r="AJ37" s="7">
        <v>9</v>
      </c>
      <c r="AK37" s="7">
        <v>11</v>
      </c>
      <c r="AL37" s="7">
        <v>4</v>
      </c>
      <c r="AM37" s="7">
        <v>11</v>
      </c>
      <c r="AN37" s="7">
        <v>5</v>
      </c>
      <c r="AO37" s="7">
        <v>21</v>
      </c>
      <c r="AP37" s="7">
        <v>5</v>
      </c>
      <c r="AQ37" s="7">
        <v>25</v>
      </c>
      <c r="AR37" s="7">
        <v>30</v>
      </c>
      <c r="AS37" s="7">
        <v>15</v>
      </c>
      <c r="AT37" s="7">
        <f t="shared" si="1"/>
        <v>156</v>
      </c>
    </row>
    <row r="38" spans="1:46" ht="25.5" x14ac:dyDescent="0.2">
      <c r="A38" s="1" t="s">
        <v>96</v>
      </c>
      <c r="B38" s="2" t="s">
        <v>23</v>
      </c>
      <c r="C38" s="2" t="s">
        <v>66</v>
      </c>
      <c r="D38" s="2" t="s">
        <v>67</v>
      </c>
      <c r="E38" s="2" t="s">
        <v>66</v>
      </c>
      <c r="F38" s="2" t="s">
        <v>58</v>
      </c>
      <c r="G38" s="2" t="s">
        <v>93</v>
      </c>
      <c r="H38" s="2" t="s">
        <v>94</v>
      </c>
      <c r="I38" s="2" t="s">
        <v>94</v>
      </c>
      <c r="J38" s="2" t="s">
        <v>97</v>
      </c>
      <c r="K38" s="2" t="s">
        <v>29</v>
      </c>
      <c r="L38" s="2" t="s">
        <v>30</v>
      </c>
      <c r="M38" s="2" t="s">
        <v>31</v>
      </c>
      <c r="N38" s="2" t="s">
        <v>67</v>
      </c>
      <c r="O38" s="3">
        <v>287</v>
      </c>
      <c r="P38" s="4">
        <v>1075</v>
      </c>
      <c r="Q38" s="4"/>
      <c r="R38" s="4">
        <v>0</v>
      </c>
      <c r="S38" s="4">
        <v>775</v>
      </c>
      <c r="T38" s="63">
        <v>1850</v>
      </c>
      <c r="U38" s="80" t="s">
        <v>36</v>
      </c>
      <c r="V38" s="72">
        <v>0.3</v>
      </c>
      <c r="W38" s="6">
        <f t="shared" si="0"/>
        <v>86.1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7">
        <v>7</v>
      </c>
      <c r="AI38" s="7">
        <v>26</v>
      </c>
      <c r="AJ38" s="7">
        <v>6</v>
      </c>
      <c r="AK38" s="7">
        <v>4</v>
      </c>
      <c r="AL38" s="7">
        <v>14</v>
      </c>
      <c r="AM38" s="7">
        <v>8</v>
      </c>
      <c r="AN38" s="7">
        <v>18</v>
      </c>
      <c r="AO38" s="7">
        <v>11</v>
      </c>
      <c r="AP38" s="7">
        <v>9</v>
      </c>
      <c r="AQ38" s="7">
        <v>45</v>
      </c>
      <c r="AR38" s="7">
        <v>16</v>
      </c>
      <c r="AS38" s="7">
        <v>7</v>
      </c>
      <c r="AT38" s="7">
        <f t="shared" si="1"/>
        <v>171</v>
      </c>
    </row>
    <row r="39" spans="1:46" ht="25.5" x14ac:dyDescent="0.2">
      <c r="A39" s="1" t="s">
        <v>98</v>
      </c>
      <c r="B39" s="2" t="s">
        <v>23</v>
      </c>
      <c r="C39" s="2" t="s">
        <v>66</v>
      </c>
      <c r="D39" s="2" t="s">
        <v>67</v>
      </c>
      <c r="E39" s="2" t="s">
        <v>66</v>
      </c>
      <c r="F39" s="2" t="s">
        <v>58</v>
      </c>
      <c r="G39" s="2" t="s">
        <v>93</v>
      </c>
      <c r="H39" s="2" t="s">
        <v>94</v>
      </c>
      <c r="I39" s="2" t="s">
        <v>94</v>
      </c>
      <c r="J39" s="2" t="s">
        <v>70</v>
      </c>
      <c r="K39" s="2" t="s">
        <v>29</v>
      </c>
      <c r="L39" s="2" t="s">
        <v>30</v>
      </c>
      <c r="M39" s="2" t="s">
        <v>31</v>
      </c>
      <c r="N39" s="2" t="s">
        <v>67</v>
      </c>
      <c r="O39" s="3">
        <v>125</v>
      </c>
      <c r="P39" s="4">
        <v>1075</v>
      </c>
      <c r="Q39" s="4"/>
      <c r="R39" s="4">
        <v>0</v>
      </c>
      <c r="S39" s="4">
        <v>775</v>
      </c>
      <c r="T39" s="63">
        <v>1850</v>
      </c>
      <c r="U39" s="80" t="s">
        <v>36</v>
      </c>
      <c r="V39" s="72">
        <v>0.5</v>
      </c>
      <c r="W39" s="6">
        <f t="shared" si="0"/>
        <v>62.5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7"/>
      <c r="AI39" s="7"/>
      <c r="AJ39" s="7"/>
      <c r="AK39" s="7"/>
      <c r="AL39" s="7">
        <v>12</v>
      </c>
      <c r="AM39" s="7"/>
      <c r="AN39" s="7">
        <v>12</v>
      </c>
      <c r="AO39" s="7"/>
      <c r="AP39" s="7">
        <v>10</v>
      </c>
      <c r="AQ39" s="7"/>
      <c r="AR39" s="7"/>
      <c r="AS39" s="7"/>
      <c r="AT39" s="7">
        <f t="shared" si="1"/>
        <v>34</v>
      </c>
    </row>
    <row r="40" spans="1:46" ht="25.5" x14ac:dyDescent="0.2">
      <c r="A40" s="1" t="s">
        <v>99</v>
      </c>
      <c r="B40" s="2" t="s">
        <v>23</v>
      </c>
      <c r="C40" s="2" t="s">
        <v>66</v>
      </c>
      <c r="D40" s="2" t="s">
        <v>67</v>
      </c>
      <c r="E40" s="2" t="s">
        <v>66</v>
      </c>
      <c r="F40" s="2" t="s">
        <v>58</v>
      </c>
      <c r="G40" s="2" t="s">
        <v>93</v>
      </c>
      <c r="H40" s="2" t="s">
        <v>94</v>
      </c>
      <c r="I40" s="2" t="s">
        <v>94</v>
      </c>
      <c r="J40" s="2" t="s">
        <v>100</v>
      </c>
      <c r="K40" s="2" t="s">
        <v>29</v>
      </c>
      <c r="L40" s="2" t="s">
        <v>30</v>
      </c>
      <c r="M40" s="2" t="s">
        <v>31</v>
      </c>
      <c r="N40" s="2" t="s">
        <v>67</v>
      </c>
      <c r="O40" s="3">
        <v>214</v>
      </c>
      <c r="P40" s="4">
        <v>1075</v>
      </c>
      <c r="Q40" s="4"/>
      <c r="R40" s="4">
        <v>0</v>
      </c>
      <c r="S40" s="4">
        <v>775</v>
      </c>
      <c r="T40" s="63">
        <v>1850</v>
      </c>
      <c r="U40" s="80" t="s">
        <v>36</v>
      </c>
      <c r="V40" s="72">
        <v>0.5</v>
      </c>
      <c r="W40" s="6">
        <f t="shared" si="0"/>
        <v>107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7"/>
      <c r="AI40" s="7">
        <v>5</v>
      </c>
      <c r="AJ40" s="7">
        <v>8</v>
      </c>
      <c r="AK40" s="7">
        <v>6</v>
      </c>
      <c r="AL40" s="7">
        <v>17</v>
      </c>
      <c r="AM40" s="7">
        <v>9</v>
      </c>
      <c r="AN40" s="7">
        <v>24</v>
      </c>
      <c r="AO40" s="7">
        <v>29</v>
      </c>
      <c r="AP40" s="7">
        <v>53</v>
      </c>
      <c r="AQ40" s="7"/>
      <c r="AR40" s="7">
        <v>25</v>
      </c>
      <c r="AS40" s="7">
        <v>14</v>
      </c>
      <c r="AT40" s="7">
        <f t="shared" si="1"/>
        <v>190</v>
      </c>
    </row>
    <row r="41" spans="1:46" ht="25.5" x14ac:dyDescent="0.2">
      <c r="A41" s="1" t="s">
        <v>101</v>
      </c>
      <c r="B41" s="2" t="s">
        <v>23</v>
      </c>
      <c r="C41" s="2" t="s">
        <v>66</v>
      </c>
      <c r="D41" s="2" t="s">
        <v>67</v>
      </c>
      <c r="E41" s="2" t="s">
        <v>66</v>
      </c>
      <c r="F41" s="2" t="s">
        <v>58</v>
      </c>
      <c r="G41" s="2" t="s">
        <v>93</v>
      </c>
      <c r="H41" s="2" t="s">
        <v>102</v>
      </c>
      <c r="I41" s="2" t="s">
        <v>102</v>
      </c>
      <c r="J41" s="2" t="s">
        <v>97</v>
      </c>
      <c r="K41" s="2" t="s">
        <v>29</v>
      </c>
      <c r="L41" s="2" t="s">
        <v>30</v>
      </c>
      <c r="M41" s="2" t="s">
        <v>31</v>
      </c>
      <c r="N41" s="2" t="s">
        <v>67</v>
      </c>
      <c r="O41" s="3">
        <v>95</v>
      </c>
      <c r="P41" s="4">
        <v>1025</v>
      </c>
      <c r="Q41" s="4"/>
      <c r="R41" s="4">
        <v>0</v>
      </c>
      <c r="S41" s="4">
        <v>1070</v>
      </c>
      <c r="T41" s="63">
        <v>2095</v>
      </c>
      <c r="U41" s="80" t="s">
        <v>36</v>
      </c>
      <c r="V41" s="72">
        <v>0.5</v>
      </c>
      <c r="W41" s="6">
        <f t="shared" si="0"/>
        <v>47.5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7">
        <v>3</v>
      </c>
      <c r="AI41" s="7">
        <v>8</v>
      </c>
      <c r="AJ41" s="7">
        <v>3</v>
      </c>
      <c r="AK41" s="7">
        <v>6</v>
      </c>
      <c r="AL41" s="7">
        <v>2</v>
      </c>
      <c r="AM41" s="7">
        <v>14</v>
      </c>
      <c r="AN41" s="7">
        <v>17</v>
      </c>
      <c r="AO41" s="7">
        <v>6</v>
      </c>
      <c r="AP41" s="7">
        <v>11</v>
      </c>
      <c r="AQ41" s="7">
        <v>18</v>
      </c>
      <c r="AR41" s="7">
        <v>34</v>
      </c>
      <c r="AS41" s="7">
        <v>3</v>
      </c>
      <c r="AT41" s="7">
        <f t="shared" si="1"/>
        <v>125</v>
      </c>
    </row>
    <row r="42" spans="1:46" ht="25.5" x14ac:dyDescent="0.2">
      <c r="A42" s="1" t="s">
        <v>103</v>
      </c>
      <c r="B42" s="2" t="s">
        <v>23</v>
      </c>
      <c r="C42" s="2" t="s">
        <v>66</v>
      </c>
      <c r="D42" s="2" t="s">
        <v>67</v>
      </c>
      <c r="E42" s="2" t="s">
        <v>66</v>
      </c>
      <c r="F42" s="2" t="s">
        <v>58</v>
      </c>
      <c r="G42" s="2" t="s">
        <v>93</v>
      </c>
      <c r="H42" s="2" t="s">
        <v>102</v>
      </c>
      <c r="I42" s="2" t="s">
        <v>102</v>
      </c>
      <c r="J42" s="2" t="s">
        <v>70</v>
      </c>
      <c r="K42" s="2" t="s">
        <v>29</v>
      </c>
      <c r="L42" s="2" t="s">
        <v>30</v>
      </c>
      <c r="M42" s="2" t="s">
        <v>31</v>
      </c>
      <c r="N42" s="2" t="s">
        <v>67</v>
      </c>
      <c r="O42" s="3">
        <v>40</v>
      </c>
      <c r="P42" s="4">
        <v>1025</v>
      </c>
      <c r="Q42" s="4"/>
      <c r="R42" s="4">
        <v>0</v>
      </c>
      <c r="S42" s="4">
        <v>1070</v>
      </c>
      <c r="T42" s="63">
        <v>2095</v>
      </c>
      <c r="U42" s="80" t="s">
        <v>36</v>
      </c>
      <c r="V42" s="72">
        <v>0.5</v>
      </c>
      <c r="W42" s="6">
        <f t="shared" si="0"/>
        <v>20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7">
        <v>4</v>
      </c>
      <c r="AI42" s="7">
        <v>2</v>
      </c>
      <c r="AJ42" s="7">
        <v>3</v>
      </c>
      <c r="AK42" s="7"/>
      <c r="AL42" s="7">
        <v>4</v>
      </c>
      <c r="AM42" s="7"/>
      <c r="AN42" s="7">
        <v>10</v>
      </c>
      <c r="AO42" s="7">
        <v>9</v>
      </c>
      <c r="AP42" s="7">
        <v>9</v>
      </c>
      <c r="AQ42" s="7">
        <v>10</v>
      </c>
      <c r="AR42" s="7">
        <v>11</v>
      </c>
      <c r="AS42" s="7">
        <v>3</v>
      </c>
      <c r="AT42" s="7">
        <f t="shared" si="1"/>
        <v>65</v>
      </c>
    </row>
    <row r="43" spans="1:46" ht="25.5" hidden="1" x14ac:dyDescent="0.2">
      <c r="A43" s="1" t="s">
        <v>104</v>
      </c>
      <c r="B43" s="2" t="s">
        <v>105</v>
      </c>
      <c r="C43" s="2" t="s">
        <v>106</v>
      </c>
      <c r="D43" s="2" t="s">
        <v>107</v>
      </c>
      <c r="E43" s="2" t="s">
        <v>106</v>
      </c>
      <c r="F43" s="2" t="s">
        <v>23</v>
      </c>
      <c r="G43" s="2" t="s">
        <v>26</v>
      </c>
      <c r="H43" s="2" t="s">
        <v>108</v>
      </c>
      <c r="I43" s="2" t="s">
        <v>108</v>
      </c>
      <c r="J43" s="2" t="s">
        <v>40</v>
      </c>
      <c r="K43" s="2" t="s">
        <v>29</v>
      </c>
      <c r="L43" s="2" t="s">
        <v>30</v>
      </c>
      <c r="M43" s="2" t="s">
        <v>31</v>
      </c>
      <c r="N43" s="2" t="s">
        <v>107</v>
      </c>
      <c r="O43" s="3">
        <v>42</v>
      </c>
      <c r="P43" s="4">
        <v>550</v>
      </c>
      <c r="Q43" s="4"/>
      <c r="R43" s="4">
        <v>0</v>
      </c>
      <c r="S43" s="4">
        <v>1750</v>
      </c>
      <c r="T43" s="63">
        <v>2300</v>
      </c>
      <c r="U43" s="80" t="s">
        <v>36</v>
      </c>
      <c r="V43" s="72">
        <v>0.05</v>
      </c>
      <c r="W43" s="6">
        <f t="shared" si="0"/>
        <v>2.1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>
        <f t="shared" si="1"/>
        <v>0</v>
      </c>
    </row>
    <row r="44" spans="1:46" ht="25.5" hidden="1" x14ac:dyDescent="0.2">
      <c r="A44" s="1" t="s">
        <v>109</v>
      </c>
      <c r="B44" s="2" t="s">
        <v>105</v>
      </c>
      <c r="C44" s="2" t="s">
        <v>106</v>
      </c>
      <c r="D44" s="2" t="s">
        <v>107</v>
      </c>
      <c r="E44" s="2" t="s">
        <v>106</v>
      </c>
      <c r="F44" s="2" t="s">
        <v>23</v>
      </c>
      <c r="G44" s="2" t="s">
        <v>26</v>
      </c>
      <c r="H44" s="2" t="s">
        <v>108</v>
      </c>
      <c r="I44" s="2" t="s">
        <v>108</v>
      </c>
      <c r="J44" s="2" t="s">
        <v>110</v>
      </c>
      <c r="K44" s="2" t="s">
        <v>29</v>
      </c>
      <c r="L44" s="2" t="s">
        <v>30</v>
      </c>
      <c r="M44" s="2" t="s">
        <v>31</v>
      </c>
      <c r="N44" s="2" t="s">
        <v>107</v>
      </c>
      <c r="O44" s="3">
        <v>2</v>
      </c>
      <c r="P44" s="4">
        <v>550</v>
      </c>
      <c r="Q44" s="4"/>
      <c r="R44" s="4">
        <v>0</v>
      </c>
      <c r="S44" s="4">
        <v>1750</v>
      </c>
      <c r="T44" s="63">
        <v>2300</v>
      </c>
      <c r="U44" s="80" t="s">
        <v>36</v>
      </c>
      <c r="V44" s="72">
        <v>0.05</v>
      </c>
      <c r="W44" s="6">
        <v>1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>
        <f t="shared" si="1"/>
        <v>0</v>
      </c>
    </row>
    <row r="45" spans="1:46" ht="25.5" hidden="1" x14ac:dyDescent="0.2">
      <c r="A45" s="1" t="s">
        <v>111</v>
      </c>
      <c r="B45" s="2" t="s">
        <v>105</v>
      </c>
      <c r="C45" s="2" t="s">
        <v>106</v>
      </c>
      <c r="D45" s="2" t="s">
        <v>107</v>
      </c>
      <c r="E45" s="2" t="s">
        <v>106</v>
      </c>
      <c r="F45" s="2" t="s">
        <v>23</v>
      </c>
      <c r="G45" s="2" t="s">
        <v>26</v>
      </c>
      <c r="H45" s="2" t="s">
        <v>112</v>
      </c>
      <c r="I45" s="2" t="s">
        <v>112</v>
      </c>
      <c r="J45" s="2" t="s">
        <v>40</v>
      </c>
      <c r="K45" s="2" t="s">
        <v>29</v>
      </c>
      <c r="L45" s="2" t="s">
        <v>30</v>
      </c>
      <c r="M45" s="2" t="s">
        <v>31</v>
      </c>
      <c r="N45" s="2" t="s">
        <v>107</v>
      </c>
      <c r="O45" s="3">
        <v>47</v>
      </c>
      <c r="P45" s="4">
        <v>550</v>
      </c>
      <c r="Q45" s="4"/>
      <c r="R45" s="4">
        <v>0</v>
      </c>
      <c r="S45" s="4">
        <v>1750</v>
      </c>
      <c r="T45" s="63">
        <v>2300</v>
      </c>
      <c r="U45" s="80" t="s">
        <v>36</v>
      </c>
      <c r="V45" s="72">
        <v>0.05</v>
      </c>
      <c r="W45" s="6">
        <f t="shared" si="0"/>
        <v>2.35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>
        <f t="shared" si="1"/>
        <v>0</v>
      </c>
    </row>
    <row r="46" spans="1:46" ht="25.5" hidden="1" x14ac:dyDescent="0.2">
      <c r="A46" s="1" t="s">
        <v>113</v>
      </c>
      <c r="B46" s="2" t="s">
        <v>105</v>
      </c>
      <c r="C46" s="2" t="s">
        <v>106</v>
      </c>
      <c r="D46" s="2" t="s">
        <v>107</v>
      </c>
      <c r="E46" s="2" t="s">
        <v>106</v>
      </c>
      <c r="F46" s="2" t="s">
        <v>23</v>
      </c>
      <c r="G46" s="2" t="s">
        <v>26</v>
      </c>
      <c r="H46" s="48" t="s">
        <v>112</v>
      </c>
      <c r="I46" s="48" t="s">
        <v>112</v>
      </c>
      <c r="J46" s="48" t="s">
        <v>110</v>
      </c>
      <c r="K46" s="48" t="s">
        <v>29</v>
      </c>
      <c r="L46" s="48" t="s">
        <v>30</v>
      </c>
      <c r="M46" s="48" t="s">
        <v>31</v>
      </c>
      <c r="N46" s="48" t="s">
        <v>107</v>
      </c>
      <c r="O46" s="49">
        <v>12</v>
      </c>
      <c r="P46" s="50">
        <v>550</v>
      </c>
      <c r="Q46" s="50"/>
      <c r="R46" s="50">
        <v>0</v>
      </c>
      <c r="S46" s="50">
        <v>1750</v>
      </c>
      <c r="T46" s="64">
        <v>2300</v>
      </c>
      <c r="U46" s="81" t="s">
        <v>36</v>
      </c>
      <c r="V46" s="73">
        <v>0.05</v>
      </c>
      <c r="W46" s="51">
        <f t="shared" si="0"/>
        <v>0.60000000000000009</v>
      </c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>
        <f t="shared" si="1"/>
        <v>0</v>
      </c>
    </row>
    <row r="47" spans="1:46" ht="25.5" x14ac:dyDescent="0.2">
      <c r="A47" s="59" t="s">
        <v>145</v>
      </c>
      <c r="B47" s="46" t="s">
        <v>23</v>
      </c>
      <c r="C47" s="2" t="s">
        <v>66</v>
      </c>
      <c r="D47" s="2" t="s">
        <v>67</v>
      </c>
      <c r="E47" s="46" t="s">
        <v>66</v>
      </c>
      <c r="F47" s="2" t="s">
        <v>58</v>
      </c>
      <c r="G47" s="2" t="s">
        <v>93</v>
      </c>
      <c r="H47" s="54" t="s">
        <v>146</v>
      </c>
      <c r="I47" s="54" t="s">
        <v>146</v>
      </c>
      <c r="J47" s="46" t="s">
        <v>70</v>
      </c>
      <c r="K47" s="55" t="s">
        <v>29</v>
      </c>
      <c r="L47" s="47" t="s">
        <v>30</v>
      </c>
      <c r="M47" s="57">
        <v>15</v>
      </c>
      <c r="N47" s="2" t="s">
        <v>67</v>
      </c>
      <c r="O47" s="53">
        <v>83</v>
      </c>
      <c r="P47" s="66">
        <v>1450</v>
      </c>
      <c r="Q47" s="83">
        <v>1775</v>
      </c>
      <c r="R47" s="83">
        <v>350</v>
      </c>
      <c r="S47" s="69">
        <v>975</v>
      </c>
      <c r="T47" s="65">
        <v>4200</v>
      </c>
      <c r="U47" s="84" t="s">
        <v>167</v>
      </c>
      <c r="V47" s="74">
        <v>0.3</v>
      </c>
      <c r="W47" s="85">
        <v>24.9</v>
      </c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>
        <f>SUM(AT8:AT46)</f>
        <v>1003</v>
      </c>
    </row>
    <row r="48" spans="1:46" ht="18.600000000000001" hidden="1" customHeight="1" x14ac:dyDescent="0.2">
      <c r="A48" s="86" t="s">
        <v>148</v>
      </c>
      <c r="B48" s="46" t="s">
        <v>23</v>
      </c>
      <c r="C48" s="87" t="s">
        <v>24</v>
      </c>
      <c r="D48" s="87" t="s">
        <v>25</v>
      </c>
      <c r="E48" s="87" t="s">
        <v>24</v>
      </c>
      <c r="F48" s="2" t="s">
        <v>23</v>
      </c>
      <c r="G48" s="58" t="s">
        <v>26</v>
      </c>
      <c r="H48" s="58" t="s">
        <v>149</v>
      </c>
      <c r="I48" s="88" t="s">
        <v>149</v>
      </c>
      <c r="J48" s="58" t="s">
        <v>45</v>
      </c>
      <c r="K48" s="89" t="s">
        <v>29</v>
      </c>
      <c r="L48" s="58" t="s">
        <v>30</v>
      </c>
      <c r="M48" s="57">
        <v>15</v>
      </c>
      <c r="N48" s="90" t="s">
        <v>25</v>
      </c>
      <c r="O48" s="7"/>
      <c r="P48" s="91">
        <v>370</v>
      </c>
      <c r="Q48" s="92"/>
      <c r="R48" s="93">
        <v>0</v>
      </c>
      <c r="S48" s="94">
        <v>600</v>
      </c>
      <c r="T48" s="95">
        <v>970</v>
      </c>
      <c r="U48" s="7" t="s">
        <v>168</v>
      </c>
      <c r="V48" s="7"/>
      <c r="W48" s="96">
        <v>6</v>
      </c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>
        <f>SUM(AT10:AT47)</f>
        <v>2006</v>
      </c>
    </row>
    <row r="49" spans="1:46" ht="19.350000000000001" hidden="1" customHeight="1" x14ac:dyDescent="0.2">
      <c r="A49" s="86" t="s">
        <v>150</v>
      </c>
      <c r="B49" s="46" t="s">
        <v>23</v>
      </c>
      <c r="C49" s="87" t="s">
        <v>24</v>
      </c>
      <c r="D49" s="87" t="s">
        <v>25</v>
      </c>
      <c r="E49" s="87" t="s">
        <v>24</v>
      </c>
      <c r="F49" s="2" t="s">
        <v>23</v>
      </c>
      <c r="G49" s="58" t="s">
        <v>26</v>
      </c>
      <c r="H49" s="58" t="s">
        <v>151</v>
      </c>
      <c r="I49" s="88" t="s">
        <v>151</v>
      </c>
      <c r="J49" s="58" t="s">
        <v>45</v>
      </c>
      <c r="K49" s="89" t="s">
        <v>29</v>
      </c>
      <c r="L49" s="58" t="s">
        <v>30</v>
      </c>
      <c r="M49" s="57">
        <v>15</v>
      </c>
      <c r="N49" s="90" t="s">
        <v>25</v>
      </c>
      <c r="O49" s="7"/>
      <c r="P49" s="91">
        <v>370</v>
      </c>
      <c r="Q49" s="92"/>
      <c r="R49" s="93">
        <v>0</v>
      </c>
      <c r="S49" s="94">
        <v>500</v>
      </c>
      <c r="T49" s="95">
        <v>870</v>
      </c>
      <c r="U49" s="7" t="s">
        <v>168</v>
      </c>
      <c r="V49" s="7"/>
      <c r="W49" s="96">
        <v>6</v>
      </c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>
        <f>SUM(AT11:AT48)</f>
        <v>4012</v>
      </c>
    </row>
    <row r="50" spans="1:46" ht="19.350000000000001" hidden="1" customHeight="1" x14ac:dyDescent="0.2">
      <c r="A50" s="86" t="s">
        <v>152</v>
      </c>
      <c r="B50" s="46" t="s">
        <v>23</v>
      </c>
      <c r="C50" s="87" t="s">
        <v>24</v>
      </c>
      <c r="D50" s="87" t="s">
        <v>25</v>
      </c>
      <c r="E50" s="87" t="s">
        <v>24</v>
      </c>
      <c r="F50" s="2" t="s">
        <v>23</v>
      </c>
      <c r="G50" s="58" t="s">
        <v>26</v>
      </c>
      <c r="H50" s="58" t="s">
        <v>153</v>
      </c>
      <c r="I50" s="88" t="s">
        <v>153</v>
      </c>
      <c r="J50" s="58" t="s">
        <v>28</v>
      </c>
      <c r="K50" s="89" t="s">
        <v>29</v>
      </c>
      <c r="L50" s="58" t="s">
        <v>30</v>
      </c>
      <c r="M50" s="57">
        <v>15</v>
      </c>
      <c r="N50" s="90" t="s">
        <v>25</v>
      </c>
      <c r="O50" s="7"/>
      <c r="P50" s="91">
        <v>740</v>
      </c>
      <c r="Q50" s="92"/>
      <c r="R50" s="93">
        <v>0</v>
      </c>
      <c r="S50" s="94">
        <v>700</v>
      </c>
      <c r="T50" s="95">
        <v>1440</v>
      </c>
      <c r="U50" s="7" t="s">
        <v>168</v>
      </c>
      <c r="V50" s="7"/>
      <c r="W50" s="96">
        <v>6</v>
      </c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>
        <f>SUM(AT12:AT49)</f>
        <v>8024</v>
      </c>
    </row>
    <row r="51" spans="1:46" ht="18.600000000000001" hidden="1" customHeight="1" x14ac:dyDescent="0.2">
      <c r="A51" s="86" t="s">
        <v>154</v>
      </c>
      <c r="B51" s="46" t="s">
        <v>23</v>
      </c>
      <c r="C51" s="87" t="s">
        <v>24</v>
      </c>
      <c r="D51" s="87" t="s">
        <v>25</v>
      </c>
      <c r="E51" s="87" t="s">
        <v>24</v>
      </c>
      <c r="F51" s="2" t="s">
        <v>23</v>
      </c>
      <c r="G51" s="58" t="s">
        <v>47</v>
      </c>
      <c r="H51" s="58" t="s">
        <v>48</v>
      </c>
      <c r="I51" s="88" t="s">
        <v>48</v>
      </c>
      <c r="J51" s="86" t="s">
        <v>155</v>
      </c>
      <c r="K51" s="89" t="s">
        <v>29</v>
      </c>
      <c r="L51" s="58" t="s">
        <v>30</v>
      </c>
      <c r="M51" s="57">
        <v>15</v>
      </c>
      <c r="N51" s="90" t="s">
        <v>25</v>
      </c>
      <c r="O51" s="7"/>
      <c r="P51" s="91">
        <v>400</v>
      </c>
      <c r="Q51" s="92"/>
      <c r="R51" s="93">
        <v>0</v>
      </c>
      <c r="S51" s="95">
        <v>850</v>
      </c>
      <c r="T51" s="95">
        <v>1250</v>
      </c>
      <c r="U51" s="7" t="s">
        <v>168</v>
      </c>
      <c r="V51" s="7"/>
      <c r="W51" s="96">
        <v>60</v>
      </c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>
        <f>SUM(AT13:AT50)</f>
        <v>16048</v>
      </c>
    </row>
    <row r="52" spans="1:46" ht="17.100000000000001" hidden="1" customHeight="1" x14ac:dyDescent="0.2">
      <c r="A52" s="86" t="s">
        <v>156</v>
      </c>
      <c r="B52" s="46" t="s">
        <v>23</v>
      </c>
      <c r="C52" s="87" t="s">
        <v>24</v>
      </c>
      <c r="D52" s="87" t="s">
        <v>25</v>
      </c>
      <c r="E52" s="87" t="s">
        <v>24</v>
      </c>
      <c r="F52" s="2" t="s">
        <v>23</v>
      </c>
      <c r="G52" s="58" t="s">
        <v>26</v>
      </c>
      <c r="H52" s="58" t="s">
        <v>157</v>
      </c>
      <c r="I52" s="88" t="s">
        <v>157</v>
      </c>
      <c r="J52" s="58" t="s">
        <v>155</v>
      </c>
      <c r="K52" s="89" t="s">
        <v>29</v>
      </c>
      <c r="L52" s="58" t="s">
        <v>30</v>
      </c>
      <c r="M52" s="57">
        <v>15</v>
      </c>
      <c r="N52" s="90" t="s">
        <v>25</v>
      </c>
      <c r="O52" s="7"/>
      <c r="P52" s="97">
        <v>390</v>
      </c>
      <c r="Q52" s="92"/>
      <c r="R52" s="93">
        <v>0</v>
      </c>
      <c r="S52" s="95">
        <v>450</v>
      </c>
      <c r="T52" s="95">
        <v>840</v>
      </c>
      <c r="U52" s="7" t="s">
        <v>168</v>
      </c>
      <c r="V52" s="7"/>
      <c r="W52" s="96">
        <v>28</v>
      </c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>
        <f>SUM(AT14:AT51)</f>
        <v>32096</v>
      </c>
    </row>
    <row r="53" spans="1:46" ht="16.350000000000001" hidden="1" customHeight="1" x14ac:dyDescent="0.2">
      <c r="A53" s="59" t="s">
        <v>158</v>
      </c>
      <c r="B53" s="56" t="s">
        <v>23</v>
      </c>
      <c r="C53" s="11" t="s">
        <v>24</v>
      </c>
      <c r="D53" s="11" t="s">
        <v>25</v>
      </c>
      <c r="E53" s="11" t="s">
        <v>24</v>
      </c>
      <c r="F53" s="2" t="s">
        <v>23</v>
      </c>
      <c r="G53" s="2" t="s">
        <v>68</v>
      </c>
      <c r="H53" s="56" t="s">
        <v>159</v>
      </c>
      <c r="I53" s="56" t="s">
        <v>159</v>
      </c>
      <c r="J53" s="56" t="s">
        <v>160</v>
      </c>
      <c r="K53" s="55" t="s">
        <v>29</v>
      </c>
      <c r="L53" s="58" t="s">
        <v>30</v>
      </c>
      <c r="M53" s="57">
        <v>15</v>
      </c>
      <c r="N53" s="60" t="s">
        <v>25</v>
      </c>
      <c r="O53" s="77">
        <v>20</v>
      </c>
      <c r="P53" s="67">
        <v>1800</v>
      </c>
      <c r="Q53" s="70"/>
      <c r="R53" s="68">
        <v>0</v>
      </c>
      <c r="S53" s="69">
        <v>1200</v>
      </c>
      <c r="T53" s="65">
        <v>3000</v>
      </c>
      <c r="U53" s="78" t="s">
        <v>167</v>
      </c>
      <c r="V53" s="74">
        <v>1</v>
      </c>
      <c r="W53" s="75">
        <v>20</v>
      </c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>
        <f>SUM(AT17:AT52)</f>
        <v>64192</v>
      </c>
    </row>
    <row r="54" spans="1:46" ht="18" hidden="1" customHeight="1" x14ac:dyDescent="0.2">
      <c r="A54" s="59" t="s">
        <v>161</v>
      </c>
      <c r="B54" s="56" t="s">
        <v>23</v>
      </c>
      <c r="C54" s="11" t="s">
        <v>24</v>
      </c>
      <c r="D54" s="11" t="s">
        <v>25</v>
      </c>
      <c r="E54" s="11" t="s">
        <v>24</v>
      </c>
      <c r="F54" s="2" t="s">
        <v>23</v>
      </c>
      <c r="G54" s="2" t="s">
        <v>68</v>
      </c>
      <c r="H54" s="56" t="s">
        <v>74</v>
      </c>
      <c r="I54" s="56" t="s">
        <v>74</v>
      </c>
      <c r="J54" s="56" t="s">
        <v>43</v>
      </c>
      <c r="K54" s="55" t="s">
        <v>29</v>
      </c>
      <c r="L54" s="58" t="s">
        <v>30</v>
      </c>
      <c r="M54" s="57">
        <v>15</v>
      </c>
      <c r="N54" s="61" t="s">
        <v>25</v>
      </c>
      <c r="O54" s="53">
        <v>16</v>
      </c>
      <c r="P54" s="67">
        <v>1600</v>
      </c>
      <c r="Q54" s="70"/>
      <c r="R54" s="68">
        <v>0</v>
      </c>
      <c r="S54" s="70">
        <v>1200</v>
      </c>
      <c r="T54" s="65">
        <v>2800</v>
      </c>
      <c r="U54" s="78" t="s">
        <v>167</v>
      </c>
      <c r="V54" s="74">
        <v>1</v>
      </c>
      <c r="W54" s="76">
        <v>16</v>
      </c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>
        <f>SUM(AT18:AT53)</f>
        <v>128384</v>
      </c>
    </row>
    <row r="55" spans="1:46" ht="17.100000000000001" hidden="1" customHeight="1" x14ac:dyDescent="0.2">
      <c r="A55" s="59" t="s">
        <v>162</v>
      </c>
      <c r="B55" s="56" t="s">
        <v>23</v>
      </c>
      <c r="C55" s="11" t="s">
        <v>24</v>
      </c>
      <c r="D55" s="11" t="s">
        <v>25</v>
      </c>
      <c r="E55" s="11" t="s">
        <v>24</v>
      </c>
      <c r="F55" s="2" t="s">
        <v>23</v>
      </c>
      <c r="G55" s="2" t="s">
        <v>68</v>
      </c>
      <c r="H55" s="56" t="s">
        <v>163</v>
      </c>
      <c r="I55" s="56" t="s">
        <v>163</v>
      </c>
      <c r="J55" s="56" t="s">
        <v>164</v>
      </c>
      <c r="K55" s="55" t="s">
        <v>29</v>
      </c>
      <c r="L55" s="58" t="s">
        <v>30</v>
      </c>
      <c r="M55" s="57">
        <v>15</v>
      </c>
      <c r="N55" s="61" t="s">
        <v>25</v>
      </c>
      <c r="O55" s="53">
        <v>24</v>
      </c>
      <c r="P55" s="67">
        <v>2800</v>
      </c>
      <c r="Q55" s="70"/>
      <c r="R55" s="68">
        <v>0</v>
      </c>
      <c r="S55" s="70">
        <v>2000</v>
      </c>
      <c r="T55" s="65">
        <v>4800</v>
      </c>
      <c r="U55" s="78" t="s">
        <v>167</v>
      </c>
      <c r="V55" s="74">
        <v>1</v>
      </c>
      <c r="W55" s="76">
        <v>24</v>
      </c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>
        <f>SUM(AT27:AT54)</f>
        <v>256768</v>
      </c>
    </row>
    <row r="56" spans="1:46" ht="21" hidden="1" customHeight="1" x14ac:dyDescent="0.2">
      <c r="A56" s="59" t="s">
        <v>165</v>
      </c>
      <c r="B56" s="56" t="s">
        <v>23</v>
      </c>
      <c r="C56" s="11" t="s">
        <v>24</v>
      </c>
      <c r="D56" s="11" t="s">
        <v>25</v>
      </c>
      <c r="E56" s="11" t="s">
        <v>24</v>
      </c>
      <c r="F56" s="2" t="s">
        <v>23</v>
      </c>
      <c r="G56" s="2" t="s">
        <v>68</v>
      </c>
      <c r="H56" s="56" t="s">
        <v>166</v>
      </c>
      <c r="I56" s="56" t="s">
        <v>166</v>
      </c>
      <c r="J56" s="56" t="s">
        <v>164</v>
      </c>
      <c r="K56" s="55" t="s">
        <v>29</v>
      </c>
      <c r="L56" s="58" t="s">
        <v>30</v>
      </c>
      <c r="M56" s="57">
        <v>15</v>
      </c>
      <c r="N56" s="61" t="s">
        <v>25</v>
      </c>
      <c r="O56" s="53">
        <v>24</v>
      </c>
      <c r="P56" s="67">
        <v>1800</v>
      </c>
      <c r="Q56" s="70"/>
      <c r="R56" s="68">
        <v>0</v>
      </c>
      <c r="S56" s="70">
        <v>1400</v>
      </c>
      <c r="T56" s="65">
        <v>3200</v>
      </c>
      <c r="U56" s="78" t="s">
        <v>167</v>
      </c>
      <c r="V56" s="74">
        <v>1</v>
      </c>
      <c r="W56" s="76">
        <v>24</v>
      </c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>
        <f>SUM(AT28:AT55)</f>
        <v>513536</v>
      </c>
    </row>
    <row r="57" spans="1:46" hidden="1" x14ac:dyDescent="0.2">
      <c r="W57" s="82">
        <f>SUM(W8:W56)</f>
        <v>1092.1100000000001</v>
      </c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>
        <f>SUM(AT29:AT56)</f>
        <v>1027072</v>
      </c>
    </row>
  </sheetData>
  <autoFilter ref="A6:AT57" xr:uid="{D1E454D6-B789-434E-A8EC-D461F1E1C6DC}">
    <filterColumn colId="4">
      <filters>
        <filter val="LAEM CHABANG"/>
      </filters>
    </filterColumn>
  </autoFilter>
  <mergeCells count="36">
    <mergeCell ref="U6:U7"/>
    <mergeCell ref="AT6:AT7"/>
    <mergeCell ref="W6:W7"/>
    <mergeCell ref="AH6:AH7"/>
    <mergeCell ref="AI6:AI7"/>
    <mergeCell ref="AJ6:AJ7"/>
    <mergeCell ref="AK6:AK7"/>
    <mergeCell ref="AL6:AL7"/>
    <mergeCell ref="AS6:AS7"/>
    <mergeCell ref="AR6:AR7"/>
    <mergeCell ref="AM6:AM7"/>
    <mergeCell ref="AN6:AN7"/>
    <mergeCell ref="AO6:AO7"/>
    <mergeCell ref="AP6:AP7"/>
    <mergeCell ref="AQ6:AQ7"/>
    <mergeCell ref="F6:F7"/>
    <mergeCell ref="G6:G7"/>
    <mergeCell ref="H6:H7"/>
    <mergeCell ref="I6:I7"/>
    <mergeCell ref="V6:V7"/>
    <mergeCell ref="N6:N7"/>
    <mergeCell ref="O6:O7"/>
    <mergeCell ref="P6:P7"/>
    <mergeCell ref="J6:J7"/>
    <mergeCell ref="K6:K7"/>
    <mergeCell ref="L6:L7"/>
    <mergeCell ref="M6:M7"/>
    <mergeCell ref="Q6:Q7"/>
    <mergeCell ref="R6:R7"/>
    <mergeCell ref="S6:S7"/>
    <mergeCell ref="T6:T7"/>
    <mergeCell ref="A6:A7"/>
    <mergeCell ref="B6:B7"/>
    <mergeCell ref="C6:C7"/>
    <mergeCell ref="D6:D7"/>
    <mergeCell ref="E6:E7"/>
  </mergeCells>
  <phoneticPr fontId="2" type="noConversion"/>
  <conditionalFormatting sqref="P8:P46">
    <cfRule type="expression" dxfId="42" priority="22">
      <formula>AND(VLOOKUP($M8,MISSING,3,0)=1,ISBLANK(P8),$AH8="Missing Bids")</formula>
    </cfRule>
  </conditionalFormatting>
  <conditionalFormatting sqref="P48:P51">
    <cfRule type="expression" dxfId="41" priority="2">
      <formula>AND(VLOOKUP($Q48,MISSING,3,0)=1,ISBLANK(P48),$AP48="Missing Bids")</formula>
    </cfRule>
  </conditionalFormatting>
  <conditionalFormatting sqref="Q8:Q46">
    <cfRule type="expression" dxfId="40" priority="23">
      <formula>AND(VLOOKUP($M8,MISSING,4,0)=1,ISBLANK(Q8),$AH8="Missing Bids")</formula>
    </cfRule>
  </conditionalFormatting>
  <conditionalFormatting sqref="R8:R46">
    <cfRule type="expression" dxfId="39" priority="24">
      <formula>AND(VLOOKUP($M8,MISSING,5,0)=1,ISBLANK(R8),$AH8="Missing Bids")</formula>
    </cfRule>
  </conditionalFormatting>
  <conditionalFormatting sqref="S8:S46">
    <cfRule type="expression" dxfId="38" priority="25">
      <formula>AND(VLOOKUP($M8,MISSING,6,0)=1,ISBLANK(S8),$AH8="Missing Bids")</formula>
    </cfRule>
  </conditionalFormatting>
  <conditionalFormatting sqref="S48:S50">
    <cfRule type="expression" dxfId="37" priority="1">
      <formula>AND(VLOOKUP($Q48,MISSING,6,0)=1,ISBLANK(S48),$AP48="Missing Bids")</formula>
    </cfRule>
  </conditionalFormatting>
  <conditionalFormatting sqref="U8:U46">
    <cfRule type="cellIs" dxfId="36" priority="3" operator="equal">
      <formula>"Complete"</formula>
    </cfRule>
    <cfRule type="cellIs" dxfId="35" priority="4" operator="equal">
      <formula>"Missing Bids"</formula>
    </cfRule>
    <cfRule type="cellIs" dxfId="34" priority="5" operator="equal">
      <formula>"No Bids"</formula>
    </cfRule>
  </conditionalFormatting>
  <conditionalFormatting sqref="V8:V46">
    <cfRule type="notContainsBlanks" dxfId="33" priority="11">
      <formula>LEN(TRIM(V8))&gt;0</formula>
    </cfRule>
  </conditionalFormatting>
  <dataValidations count="3">
    <dataValidation type="textLength" operator="lessThanOrEqual" allowBlank="1" showInputMessage="1" showErrorMessage="1" errorTitle="Invalid value" error="The text entered for [Equipment Type] is not allowed to have more than 32,767 characters." sqref="L47 O47 W53:AG53 W56:AG56 O53 O56" xr:uid="{D3911526-53CC-475C-BE24-94D315DABE46}">
      <formula1>32767</formula1>
    </dataValidation>
    <dataValidation type="whole" allowBlank="1" showInputMessage="1" showErrorMessage="1" errorTitle="Invalid value" error="The value entered for ocean freight haz mat fee (USD) must be an integer." sqref="P47" xr:uid="{9EF25987-F53C-46CD-8099-6CC26D0970E4}">
      <formula1>-1E+307</formula1>
      <formula2>9.99999999999999E+307</formula2>
    </dataValidation>
    <dataValidation type="textLength" operator="lessThanOrEqual" allowBlank="1" showInputMessage="1" showErrorMessage="1" errorTitle="Invalid value" error="The text entered for [Suppliers Notes/Comments] is not allowed to have more than 32,767 characters." sqref="S47 S53" xr:uid="{A580A97F-BB9C-4DA3-9F8B-CCA85409EB99}">
      <formula1>32767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6D6E-0852-4B83-9C27-0B3889EF2C54}">
  <dimension ref="A1:AW38"/>
  <sheetViews>
    <sheetView tabSelected="1" topLeftCell="S8" zoomScale="70" zoomScaleNormal="70" workbookViewId="0">
      <selection activeCell="AI14" sqref="AI14"/>
    </sheetView>
  </sheetViews>
  <sheetFormatPr defaultRowHeight="15" x14ac:dyDescent="0.25"/>
  <cols>
    <col min="2" max="2" width="11.5703125" customWidth="1"/>
    <col min="3" max="3" width="13.85546875" bestFit="1" customWidth="1"/>
    <col min="4" max="4" width="21.140625" bestFit="1" customWidth="1"/>
    <col min="5" max="5" width="16.42578125" bestFit="1" customWidth="1"/>
    <col min="6" max="6" width="19" bestFit="1" customWidth="1"/>
    <col min="8" max="8" width="18.5703125" bestFit="1" customWidth="1"/>
    <col min="9" max="9" width="21.140625" bestFit="1" customWidth="1"/>
    <col min="10" max="10" width="15" bestFit="1" customWidth="1"/>
    <col min="11" max="11" width="20.5703125" customWidth="1"/>
    <col min="12" max="12" width="18.42578125" bestFit="1" customWidth="1"/>
    <col min="13" max="13" width="16.42578125" bestFit="1" customWidth="1"/>
    <col min="14" max="14" width="15.140625" bestFit="1" customWidth="1"/>
    <col min="15" max="15" width="15.42578125" bestFit="1" customWidth="1"/>
    <col min="16" max="16" width="13.42578125" customWidth="1"/>
    <col min="17" max="17" width="16.42578125" customWidth="1"/>
    <col min="18" max="18" width="14.42578125" customWidth="1"/>
    <col min="19" max="19" width="9" customWidth="1"/>
    <col min="20" max="20" width="27" customWidth="1"/>
    <col min="21" max="21" width="13.5703125" customWidth="1"/>
    <col min="22" max="22" width="13.42578125" customWidth="1"/>
    <col min="24" max="24" width="12.140625" customWidth="1"/>
    <col min="25" max="25" width="12.5703125" customWidth="1"/>
    <col min="27" max="27" width="12.140625" customWidth="1"/>
    <col min="28" max="28" width="12.5703125" customWidth="1"/>
    <col min="29" max="29" width="18.85546875" customWidth="1"/>
    <col min="31" max="31" width="13.140625" bestFit="1" customWidth="1"/>
    <col min="32" max="32" width="13.7109375" bestFit="1" customWidth="1"/>
    <col min="33" max="33" width="13.5703125" bestFit="1" customWidth="1"/>
    <col min="34" max="36" width="13.5703125" customWidth="1"/>
  </cols>
  <sheetData>
    <row r="1" spans="1:49" s="5" customFormat="1" ht="26.85" customHeight="1" x14ac:dyDescent="0.2">
      <c r="A1" s="17" t="s">
        <v>125</v>
      </c>
    </row>
    <row r="2" spans="1:49" s="5" customFormat="1" ht="12.75" x14ac:dyDescent="0.2"/>
    <row r="3" spans="1:49" s="5" customFormat="1" ht="12.75" x14ac:dyDescent="0.2">
      <c r="A3" s="125" t="s">
        <v>0</v>
      </c>
      <c r="B3" s="125" t="s">
        <v>1</v>
      </c>
      <c r="C3" s="125" t="s">
        <v>2</v>
      </c>
      <c r="D3" s="125" t="s">
        <v>126</v>
      </c>
      <c r="E3" s="125" t="s">
        <v>3</v>
      </c>
      <c r="F3" s="127" t="s">
        <v>4</v>
      </c>
      <c r="G3" s="125" t="s">
        <v>5</v>
      </c>
      <c r="H3" s="125" t="s">
        <v>6</v>
      </c>
      <c r="I3" s="127" t="s">
        <v>7</v>
      </c>
      <c r="J3" s="125" t="s">
        <v>8</v>
      </c>
      <c r="K3" s="125" t="s">
        <v>127</v>
      </c>
      <c r="L3" s="125" t="s">
        <v>128</v>
      </c>
      <c r="M3" s="125" t="s">
        <v>9</v>
      </c>
      <c r="N3" s="125" t="s">
        <v>10</v>
      </c>
      <c r="O3" s="125" t="s">
        <v>11</v>
      </c>
      <c r="P3" s="125" t="s">
        <v>12</v>
      </c>
      <c r="Q3" s="125" t="s">
        <v>129</v>
      </c>
      <c r="R3" s="125" t="s">
        <v>130</v>
      </c>
      <c r="S3" s="125" t="s">
        <v>13</v>
      </c>
      <c r="T3" s="125" t="s">
        <v>14</v>
      </c>
      <c r="U3" s="125" t="s">
        <v>131</v>
      </c>
      <c r="V3" s="125" t="s">
        <v>15</v>
      </c>
      <c r="W3" s="125" t="s">
        <v>16</v>
      </c>
      <c r="X3" s="125" t="s">
        <v>17</v>
      </c>
      <c r="Y3" s="125" t="s">
        <v>18</v>
      </c>
      <c r="Z3" s="125" t="s">
        <v>19</v>
      </c>
      <c r="AA3" s="125" t="s">
        <v>20</v>
      </c>
      <c r="AB3" s="126" t="s">
        <v>132</v>
      </c>
      <c r="AC3" s="126" t="s">
        <v>21</v>
      </c>
      <c r="AD3" s="128" t="s">
        <v>114</v>
      </c>
      <c r="AE3" s="103"/>
      <c r="AF3" s="103"/>
      <c r="AG3" s="103"/>
      <c r="AH3" s="103"/>
      <c r="AI3" s="103"/>
      <c r="AJ3" s="103"/>
      <c r="AK3" s="123" t="s">
        <v>116</v>
      </c>
      <c r="AL3" s="123" t="s">
        <v>117</v>
      </c>
      <c r="AM3" s="123" t="s">
        <v>118</v>
      </c>
      <c r="AN3" s="123" t="s">
        <v>119</v>
      </c>
      <c r="AO3" s="123" t="s">
        <v>120</v>
      </c>
      <c r="AP3" s="123" t="s">
        <v>139</v>
      </c>
      <c r="AQ3" s="123" t="s">
        <v>121</v>
      </c>
      <c r="AR3" s="123" t="s">
        <v>140</v>
      </c>
      <c r="AS3" s="123" t="s">
        <v>141</v>
      </c>
      <c r="AT3" s="123" t="s">
        <v>142</v>
      </c>
      <c r="AU3" s="121" t="s">
        <v>143</v>
      </c>
      <c r="AV3" s="122">
        <v>46174</v>
      </c>
      <c r="AW3" s="117" t="s">
        <v>115</v>
      </c>
    </row>
    <row r="4" spans="1:49" s="5" customFormat="1" ht="62.45" customHeight="1" x14ac:dyDescent="0.2">
      <c r="A4" s="125"/>
      <c r="B4" s="125"/>
      <c r="C4" s="125"/>
      <c r="D4" s="125"/>
      <c r="E4" s="125"/>
      <c r="F4" s="127"/>
      <c r="G4" s="125"/>
      <c r="H4" s="125"/>
      <c r="I4" s="127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6"/>
      <c r="AC4" s="126"/>
      <c r="AD4" s="128"/>
      <c r="AE4" s="103"/>
      <c r="AF4" s="103"/>
      <c r="AG4" s="103"/>
      <c r="AH4" s="103"/>
      <c r="AI4" s="103"/>
      <c r="AJ4" s="10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17"/>
      <c r="AV4" s="117"/>
      <c r="AW4" s="117"/>
    </row>
    <row r="5" spans="1:49" s="19" customFormat="1" ht="36" x14ac:dyDescent="0.2">
      <c r="A5" s="22" t="s">
        <v>133</v>
      </c>
      <c r="B5" s="23" t="s">
        <v>23</v>
      </c>
      <c r="C5" s="23" t="s">
        <v>134</v>
      </c>
      <c r="D5" s="23" t="s">
        <v>135</v>
      </c>
      <c r="E5" s="23" t="s">
        <v>67</v>
      </c>
      <c r="F5" s="23" t="s">
        <v>66</v>
      </c>
      <c r="G5" s="23" t="s">
        <v>23</v>
      </c>
      <c r="H5" s="23" t="s">
        <v>85</v>
      </c>
      <c r="I5" s="23" t="s">
        <v>86</v>
      </c>
      <c r="J5" s="23" t="s">
        <v>86</v>
      </c>
      <c r="K5" s="23" t="s">
        <v>136</v>
      </c>
      <c r="L5" s="23" t="s">
        <v>137</v>
      </c>
      <c r="M5" s="23" t="s">
        <v>70</v>
      </c>
      <c r="N5" s="23" t="s">
        <v>29</v>
      </c>
      <c r="O5" s="23" t="s">
        <v>30</v>
      </c>
      <c r="P5" s="23"/>
      <c r="Q5" s="23"/>
      <c r="R5" s="23"/>
      <c r="S5" s="23" t="s">
        <v>67</v>
      </c>
      <c r="T5" s="24" t="s">
        <v>133</v>
      </c>
      <c r="U5" s="25"/>
      <c r="V5" s="25">
        <v>1110</v>
      </c>
      <c r="W5" s="25"/>
      <c r="X5" s="25">
        <v>0</v>
      </c>
      <c r="Y5" s="25">
        <v>1400</v>
      </c>
      <c r="Z5" s="25">
        <v>2510</v>
      </c>
      <c r="AA5" s="26" t="s">
        <v>133</v>
      </c>
      <c r="AB5" s="27" t="s">
        <v>133</v>
      </c>
      <c r="AC5" s="28"/>
      <c r="AD5" s="29"/>
      <c r="AE5" s="29"/>
      <c r="AF5" s="29"/>
      <c r="AG5" s="29"/>
      <c r="AH5" s="29"/>
      <c r="AI5" s="29"/>
      <c r="AJ5" s="29"/>
      <c r="AK5" s="30"/>
      <c r="AL5" s="30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</row>
    <row r="6" spans="1:49" s="5" customFormat="1" ht="12.75" x14ac:dyDescent="0.2">
      <c r="A6" s="20" t="s">
        <v>138</v>
      </c>
      <c r="B6" s="20"/>
      <c r="C6" s="20"/>
      <c r="D6" s="20"/>
      <c r="E6" s="20"/>
      <c r="F6" s="21"/>
    </row>
    <row r="7" spans="1:49" s="5" customFormat="1" ht="12.75" x14ac:dyDescent="0.2">
      <c r="A7" s="18"/>
      <c r="B7" s="18"/>
      <c r="C7" s="18"/>
      <c r="D7" s="18"/>
      <c r="E7" s="18"/>
    </row>
    <row r="8" spans="1:49" s="5" customFormat="1" ht="12.75" x14ac:dyDescent="0.2">
      <c r="A8" s="18"/>
      <c r="B8" s="18"/>
      <c r="C8" s="18"/>
      <c r="D8" s="18"/>
      <c r="E8" s="18"/>
    </row>
    <row r="9" spans="1:49" s="5" customFormat="1" ht="12.75" x14ac:dyDescent="0.2"/>
    <row r="10" spans="1:49" s="5" customFormat="1" ht="12.75" x14ac:dyDescent="0.2">
      <c r="A10" s="17" t="s">
        <v>125</v>
      </c>
    </row>
    <row r="11" spans="1:49" s="5" customFormat="1" ht="12.75" x14ac:dyDescent="0.2"/>
    <row r="12" spans="1:49" s="5" customFormat="1" ht="12.75" x14ac:dyDescent="0.2">
      <c r="A12" s="125" t="s">
        <v>0</v>
      </c>
      <c r="B12" s="125" t="s">
        <v>1</v>
      </c>
      <c r="C12" s="125" t="s">
        <v>2</v>
      </c>
      <c r="D12" s="125" t="s">
        <v>126</v>
      </c>
      <c r="E12" s="125" t="s">
        <v>3</v>
      </c>
      <c r="F12" s="127" t="s">
        <v>4</v>
      </c>
      <c r="G12" s="125" t="s">
        <v>5</v>
      </c>
      <c r="H12" s="125" t="s">
        <v>6</v>
      </c>
      <c r="I12" s="127" t="s">
        <v>7</v>
      </c>
      <c r="J12" s="125" t="s">
        <v>8</v>
      </c>
      <c r="K12" s="125" t="s">
        <v>127</v>
      </c>
      <c r="L12" s="125" t="s">
        <v>128</v>
      </c>
      <c r="M12" s="125" t="s">
        <v>9</v>
      </c>
      <c r="N12" s="125" t="s">
        <v>10</v>
      </c>
      <c r="O12" s="125" t="s">
        <v>11</v>
      </c>
      <c r="P12" s="125" t="s">
        <v>12</v>
      </c>
      <c r="Q12" s="125" t="s">
        <v>129</v>
      </c>
      <c r="R12" s="125" t="s">
        <v>130</v>
      </c>
      <c r="S12" s="125" t="s">
        <v>13</v>
      </c>
      <c r="T12" s="125" t="s">
        <v>14</v>
      </c>
      <c r="U12" s="125" t="s">
        <v>131</v>
      </c>
      <c r="V12" s="125" t="s">
        <v>15</v>
      </c>
      <c r="W12" s="125" t="s">
        <v>16</v>
      </c>
      <c r="X12" s="125" t="s">
        <v>17</v>
      </c>
      <c r="Y12" s="125" t="s">
        <v>18</v>
      </c>
      <c r="Z12" s="125" t="s">
        <v>19</v>
      </c>
      <c r="AA12" s="125" t="s">
        <v>20</v>
      </c>
      <c r="AB12" s="126" t="s">
        <v>132</v>
      </c>
      <c r="AC12" s="126" t="s">
        <v>21</v>
      </c>
      <c r="AD12" s="124" t="s">
        <v>114</v>
      </c>
      <c r="AE12" s="115">
        <v>45566</v>
      </c>
      <c r="AF12" s="115">
        <v>45597</v>
      </c>
      <c r="AG12" s="115">
        <v>45627</v>
      </c>
      <c r="AH12" s="115">
        <v>45658</v>
      </c>
      <c r="AI12" s="115"/>
      <c r="AJ12" s="115">
        <v>45901</v>
      </c>
      <c r="AK12" s="120" t="s">
        <v>116</v>
      </c>
      <c r="AL12" s="120" t="s">
        <v>117</v>
      </c>
      <c r="AM12" s="119" t="s">
        <v>118</v>
      </c>
      <c r="AN12" s="119" t="s">
        <v>119</v>
      </c>
      <c r="AO12" s="119" t="s">
        <v>120</v>
      </c>
      <c r="AP12" s="119" t="s">
        <v>139</v>
      </c>
      <c r="AQ12" s="119" t="s">
        <v>121</v>
      </c>
      <c r="AR12" s="119" t="s">
        <v>140</v>
      </c>
      <c r="AS12" s="119" t="s">
        <v>141</v>
      </c>
      <c r="AT12" s="119" t="s">
        <v>142</v>
      </c>
      <c r="AU12" s="119" t="s">
        <v>143</v>
      </c>
      <c r="AV12" s="119" t="s">
        <v>144</v>
      </c>
      <c r="AW12" s="118" t="s">
        <v>115</v>
      </c>
    </row>
    <row r="13" spans="1:49" s="5" customFormat="1" ht="12.75" x14ac:dyDescent="0.2">
      <c r="A13" s="125"/>
      <c r="B13" s="125"/>
      <c r="C13" s="125"/>
      <c r="D13" s="125"/>
      <c r="E13" s="125"/>
      <c r="F13" s="127"/>
      <c r="G13" s="125"/>
      <c r="H13" s="125"/>
      <c r="I13" s="127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6"/>
      <c r="AC13" s="126"/>
      <c r="AD13" s="124"/>
      <c r="AE13" s="102"/>
      <c r="AF13" s="102"/>
      <c r="AG13" s="102"/>
      <c r="AH13" s="102"/>
      <c r="AI13" s="115">
        <v>45717</v>
      </c>
      <c r="AJ13" s="102"/>
      <c r="AK13" s="120"/>
      <c r="AL13" s="120"/>
      <c r="AM13" s="119"/>
      <c r="AN13" s="119"/>
      <c r="AO13" s="119"/>
      <c r="AP13" s="119"/>
      <c r="AQ13" s="119"/>
      <c r="AR13" s="119"/>
      <c r="AS13" s="119"/>
      <c r="AT13" s="119"/>
      <c r="AU13" s="118"/>
      <c r="AV13" s="118"/>
      <c r="AW13" s="118"/>
    </row>
    <row r="14" spans="1:49" s="5" customFormat="1" ht="36" x14ac:dyDescent="0.2">
      <c r="A14" s="110"/>
      <c r="B14" s="110"/>
      <c r="C14" s="110"/>
      <c r="D14" s="110"/>
      <c r="E14" s="110"/>
      <c r="F14" s="23" t="s">
        <v>66</v>
      </c>
      <c r="G14" s="23" t="s">
        <v>23</v>
      </c>
      <c r="H14" s="110" t="s">
        <v>81</v>
      </c>
      <c r="I14" s="110" t="s">
        <v>225</v>
      </c>
      <c r="J14" s="110" t="s">
        <v>225</v>
      </c>
      <c r="K14" s="23" t="s">
        <v>136</v>
      </c>
      <c r="L14" s="23" t="s">
        <v>137</v>
      </c>
      <c r="M14" s="23"/>
      <c r="N14" s="23" t="s">
        <v>29</v>
      </c>
      <c r="O14" s="23" t="s">
        <v>30</v>
      </c>
      <c r="P14" s="110"/>
      <c r="Q14" s="110"/>
      <c r="R14" s="110"/>
      <c r="S14" s="23" t="s">
        <v>67</v>
      </c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6"/>
      <c r="AE14" s="116"/>
      <c r="AF14" s="116"/>
      <c r="AG14" s="116"/>
      <c r="AH14" s="116"/>
      <c r="AI14" s="116">
        <v>13</v>
      </c>
      <c r="AJ14" s="116"/>
      <c r="AK14" s="104"/>
      <c r="AL14" s="104"/>
      <c r="AM14" s="106"/>
      <c r="AN14" s="106"/>
      <c r="AO14" s="106"/>
      <c r="AP14" s="106"/>
      <c r="AQ14" s="106"/>
      <c r="AR14" s="106"/>
      <c r="AS14" s="106"/>
      <c r="AT14" s="106"/>
      <c r="AU14" s="105"/>
      <c r="AV14" s="105"/>
      <c r="AW14" s="105"/>
    </row>
    <row r="15" spans="1:49" s="5" customFormat="1" ht="36" x14ac:dyDescent="0.2">
      <c r="A15" s="110"/>
      <c r="B15" s="110"/>
      <c r="C15" s="110"/>
      <c r="D15" s="110"/>
      <c r="E15" s="110"/>
      <c r="F15" s="23" t="s">
        <v>66</v>
      </c>
      <c r="G15" s="23" t="s">
        <v>23</v>
      </c>
      <c r="H15" s="110" t="s">
        <v>54</v>
      </c>
      <c r="I15" s="110" t="s">
        <v>226</v>
      </c>
      <c r="J15" s="110" t="s">
        <v>226</v>
      </c>
      <c r="K15" s="23" t="s">
        <v>136</v>
      </c>
      <c r="L15" s="23" t="s">
        <v>137</v>
      </c>
      <c r="M15" s="23"/>
      <c r="N15" s="23" t="s">
        <v>29</v>
      </c>
      <c r="O15" s="23" t="s">
        <v>30</v>
      </c>
      <c r="P15" s="110"/>
      <c r="Q15" s="110"/>
      <c r="R15" s="110"/>
      <c r="S15" s="23" t="s">
        <v>67</v>
      </c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6"/>
      <c r="AE15" s="116"/>
      <c r="AF15" s="116"/>
      <c r="AG15" s="116"/>
      <c r="AH15" s="116"/>
      <c r="AI15" s="116"/>
      <c r="AJ15" s="116">
        <v>27</v>
      </c>
      <c r="AK15" s="104"/>
      <c r="AL15" s="104"/>
      <c r="AM15" s="106"/>
      <c r="AN15" s="106"/>
      <c r="AO15" s="106"/>
      <c r="AP15" s="106"/>
      <c r="AQ15" s="106"/>
      <c r="AR15" s="106"/>
      <c r="AS15" s="106"/>
      <c r="AT15" s="106"/>
      <c r="AU15" s="105"/>
      <c r="AV15" s="105"/>
      <c r="AW15" s="105"/>
    </row>
    <row r="16" spans="1:49" s="5" customFormat="1" ht="36" x14ac:dyDescent="0.2">
      <c r="A16" s="110"/>
      <c r="B16" s="110"/>
      <c r="C16" s="110"/>
      <c r="D16" s="110"/>
      <c r="E16" s="110"/>
      <c r="F16" s="23" t="s">
        <v>66</v>
      </c>
      <c r="G16" s="23" t="s">
        <v>227</v>
      </c>
      <c r="H16" s="110" t="s">
        <v>176</v>
      </c>
      <c r="I16" s="110" t="s">
        <v>177</v>
      </c>
      <c r="J16" s="110" t="s">
        <v>177</v>
      </c>
      <c r="K16" s="23" t="s">
        <v>136</v>
      </c>
      <c r="L16" s="23" t="s">
        <v>137</v>
      </c>
      <c r="M16" s="23"/>
      <c r="N16" s="23" t="s">
        <v>29</v>
      </c>
      <c r="O16" s="23" t="s">
        <v>30</v>
      </c>
      <c r="P16" s="110"/>
      <c r="Q16" s="110"/>
      <c r="R16" s="110"/>
      <c r="S16" s="23" t="s">
        <v>67</v>
      </c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6"/>
      <c r="AE16" s="116">
        <v>32</v>
      </c>
      <c r="AF16" s="116">
        <v>12</v>
      </c>
      <c r="AG16" s="116">
        <v>28</v>
      </c>
      <c r="AH16" s="116">
        <v>18</v>
      </c>
      <c r="AI16" s="116"/>
      <c r="AJ16" s="116"/>
      <c r="AK16" s="104"/>
      <c r="AL16" s="104"/>
      <c r="AM16" s="106"/>
      <c r="AN16" s="106"/>
      <c r="AO16" s="106"/>
      <c r="AP16" s="106"/>
      <c r="AQ16" s="106"/>
      <c r="AR16" s="106"/>
      <c r="AS16" s="106"/>
      <c r="AT16" s="106"/>
      <c r="AU16" s="105"/>
      <c r="AV16" s="105"/>
      <c r="AW16" s="105"/>
    </row>
    <row r="17" spans="1:49" s="19" customFormat="1" ht="36" x14ac:dyDescent="0.2">
      <c r="A17" s="22" t="s">
        <v>133</v>
      </c>
      <c r="B17" s="23" t="s">
        <v>23</v>
      </c>
      <c r="C17" s="23" t="s">
        <v>134</v>
      </c>
      <c r="D17" s="23" t="s">
        <v>135</v>
      </c>
      <c r="E17" s="23" t="s">
        <v>67</v>
      </c>
      <c r="F17" s="23" t="s">
        <v>66</v>
      </c>
      <c r="G17" s="23" t="s">
        <v>23</v>
      </c>
      <c r="H17" s="23" t="s">
        <v>93</v>
      </c>
      <c r="I17" s="23" t="s">
        <v>169</v>
      </c>
      <c r="J17" s="23" t="s">
        <v>169</v>
      </c>
      <c r="K17" s="23" t="s">
        <v>136</v>
      </c>
      <c r="L17" s="23" t="s">
        <v>137</v>
      </c>
      <c r="M17" s="23" t="s">
        <v>70</v>
      </c>
      <c r="N17" s="23" t="s">
        <v>29</v>
      </c>
      <c r="O17" s="23" t="s">
        <v>30</v>
      </c>
      <c r="P17" s="111"/>
      <c r="Q17" s="111"/>
      <c r="R17" s="111"/>
      <c r="S17" s="23" t="s">
        <v>67</v>
      </c>
      <c r="T17" s="24" t="s">
        <v>133</v>
      </c>
      <c r="U17" s="112"/>
      <c r="V17" s="112">
        <v>1150</v>
      </c>
      <c r="W17" s="112"/>
      <c r="X17" s="112"/>
      <c r="Y17" s="112"/>
      <c r="Z17" s="113">
        <v>2670</v>
      </c>
      <c r="AA17" s="114"/>
      <c r="AB17" s="37"/>
      <c r="AC17" s="31"/>
      <c r="AD17" s="31"/>
      <c r="AE17" s="31"/>
      <c r="AF17" s="31"/>
      <c r="AG17" s="31"/>
      <c r="AH17" s="31"/>
      <c r="AI17" s="31"/>
      <c r="AJ17" s="31"/>
      <c r="AK17" s="30">
        <v>7</v>
      </c>
      <c r="AL17" s="31"/>
      <c r="AM17" s="31"/>
      <c r="AN17" s="38"/>
      <c r="AO17" s="38">
        <v>2</v>
      </c>
      <c r="AP17" s="39"/>
      <c r="AQ17" s="31"/>
      <c r="AR17" s="31">
        <v>1</v>
      </c>
      <c r="AS17" s="31">
        <v>7</v>
      </c>
      <c r="AT17" s="31"/>
      <c r="AU17" s="30"/>
      <c r="AV17" s="31"/>
      <c r="AW17" s="31"/>
    </row>
    <row r="18" spans="1:49" s="19" customFormat="1" ht="36" x14ac:dyDescent="0.2">
      <c r="A18" s="22" t="s">
        <v>133</v>
      </c>
      <c r="B18" s="23" t="s">
        <v>23</v>
      </c>
      <c r="C18" s="23" t="s">
        <v>134</v>
      </c>
      <c r="D18" s="23" t="s">
        <v>135</v>
      </c>
      <c r="E18" s="23" t="s">
        <v>67</v>
      </c>
      <c r="F18" s="23" t="s">
        <v>66</v>
      </c>
      <c r="G18" s="23" t="s">
        <v>23</v>
      </c>
      <c r="H18" s="38" t="s">
        <v>54</v>
      </c>
      <c r="I18" s="32" t="s">
        <v>170</v>
      </c>
      <c r="J18" s="38" t="s">
        <v>54</v>
      </c>
      <c r="K18" s="23" t="s">
        <v>136</v>
      </c>
      <c r="L18" s="23" t="s">
        <v>137</v>
      </c>
      <c r="M18" s="23" t="s">
        <v>70</v>
      </c>
      <c r="N18" s="23" t="s">
        <v>29</v>
      </c>
      <c r="O18" s="23" t="s">
        <v>30</v>
      </c>
      <c r="P18" s="40"/>
      <c r="Q18" s="40"/>
      <c r="R18" s="40"/>
      <c r="S18" s="23" t="s">
        <v>67</v>
      </c>
      <c r="T18" s="24" t="s">
        <v>133</v>
      </c>
      <c r="U18" s="41"/>
      <c r="V18" s="41">
        <v>30</v>
      </c>
      <c r="W18" s="41"/>
      <c r="X18" s="41"/>
      <c r="Y18" s="41"/>
      <c r="Z18" s="42">
        <v>1850</v>
      </c>
      <c r="AA18" s="43"/>
      <c r="AB18" s="44"/>
      <c r="AC18" s="45"/>
      <c r="AD18" s="31"/>
      <c r="AE18" s="31"/>
      <c r="AF18" s="31"/>
      <c r="AG18" s="31"/>
      <c r="AH18" s="31"/>
      <c r="AI18" s="31"/>
      <c r="AJ18" s="31"/>
      <c r="AK18" s="31"/>
      <c r="AL18" s="30">
        <v>6</v>
      </c>
      <c r="AM18" s="31">
        <v>2</v>
      </c>
      <c r="AN18" s="31"/>
      <c r="AO18" s="31"/>
      <c r="AP18" s="31"/>
      <c r="AQ18" s="38"/>
      <c r="AR18" s="38"/>
      <c r="AS18" s="38"/>
      <c r="AT18" s="31"/>
      <c r="AU18" s="30"/>
      <c r="AV18" s="31"/>
      <c r="AW18" s="31"/>
    </row>
    <row r="19" spans="1:49" ht="36" x14ac:dyDescent="0.25">
      <c r="A19" s="22" t="s">
        <v>133</v>
      </c>
      <c r="B19" s="23" t="s">
        <v>23</v>
      </c>
      <c r="C19" s="23" t="s">
        <v>134</v>
      </c>
      <c r="D19" s="23" t="s">
        <v>135</v>
      </c>
      <c r="E19" s="23" t="s">
        <v>67</v>
      </c>
      <c r="F19" s="23" t="s">
        <v>66</v>
      </c>
      <c r="G19" s="23" t="s">
        <v>23</v>
      </c>
      <c r="H19" s="38" t="s">
        <v>54</v>
      </c>
      <c r="I19" s="32" t="s">
        <v>170</v>
      </c>
      <c r="J19" s="38" t="s">
        <v>54</v>
      </c>
      <c r="K19" s="23" t="s">
        <v>136</v>
      </c>
      <c r="L19" s="23" t="s">
        <v>137</v>
      </c>
      <c r="M19" s="23" t="s">
        <v>70</v>
      </c>
      <c r="N19" s="23" t="s">
        <v>29</v>
      </c>
      <c r="O19" s="23" t="s">
        <v>30</v>
      </c>
      <c r="P19" s="16"/>
      <c r="Q19" s="16"/>
      <c r="R19" s="16"/>
      <c r="S19" s="23" t="s">
        <v>67</v>
      </c>
      <c r="T19" s="24" t="s">
        <v>133</v>
      </c>
      <c r="U19" s="16"/>
      <c r="V19" s="41">
        <v>30</v>
      </c>
      <c r="W19" s="16"/>
      <c r="X19" s="16"/>
      <c r="Y19" s="16"/>
      <c r="Z19" s="98">
        <v>1700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98">
        <v>1</v>
      </c>
      <c r="AM19" s="16">
        <v>3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36" x14ac:dyDescent="0.25">
      <c r="A20" s="22" t="s">
        <v>133</v>
      </c>
      <c r="B20" s="23" t="s">
        <v>23</v>
      </c>
      <c r="C20" s="23" t="s">
        <v>134</v>
      </c>
      <c r="D20" s="23" t="s">
        <v>135</v>
      </c>
      <c r="E20" s="23" t="s">
        <v>67</v>
      </c>
      <c r="F20" s="23" t="s">
        <v>66</v>
      </c>
      <c r="G20" s="23" t="s">
        <v>23</v>
      </c>
      <c r="H20" s="98" t="s">
        <v>171</v>
      </c>
      <c r="I20" s="98" t="s">
        <v>93</v>
      </c>
      <c r="J20" s="98" t="s">
        <v>171</v>
      </c>
      <c r="K20" s="23" t="s">
        <v>136</v>
      </c>
      <c r="L20" s="23" t="s">
        <v>137</v>
      </c>
      <c r="M20" s="23" t="s">
        <v>172</v>
      </c>
      <c r="N20" s="23" t="s">
        <v>29</v>
      </c>
      <c r="O20" s="23" t="s">
        <v>30</v>
      </c>
      <c r="P20" s="16"/>
      <c r="Q20" s="16"/>
      <c r="R20" s="16"/>
      <c r="S20" s="23" t="s">
        <v>67</v>
      </c>
      <c r="T20" s="24" t="s">
        <v>133</v>
      </c>
      <c r="U20" s="16"/>
      <c r="V20" s="41">
        <v>810</v>
      </c>
      <c r="W20" s="16"/>
      <c r="X20" s="16"/>
      <c r="Y20" s="16"/>
      <c r="Z20" s="16">
        <v>2095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>
        <v>2</v>
      </c>
      <c r="AN20" s="16"/>
      <c r="AO20" s="16"/>
      <c r="AP20" s="16"/>
      <c r="AQ20" s="16"/>
      <c r="AR20" s="16"/>
      <c r="AS20" s="16"/>
      <c r="AT20" s="16"/>
      <c r="AU20" s="16"/>
      <c r="AV20" s="16">
        <v>32</v>
      </c>
      <c r="AW20" s="16"/>
    </row>
    <row r="21" spans="1:49" ht="36" x14ac:dyDescent="0.25">
      <c r="A21" s="22" t="s">
        <v>133</v>
      </c>
      <c r="B21" s="23" t="s">
        <v>23</v>
      </c>
      <c r="C21" s="23" t="s">
        <v>134</v>
      </c>
      <c r="D21" s="23" t="s">
        <v>135</v>
      </c>
      <c r="E21" s="23" t="s">
        <v>67</v>
      </c>
      <c r="F21" s="23" t="s">
        <v>66</v>
      </c>
      <c r="G21" s="23" t="s">
        <v>23</v>
      </c>
      <c r="H21" s="38" t="s">
        <v>54</v>
      </c>
      <c r="I21" s="32" t="s">
        <v>170</v>
      </c>
      <c r="J21" s="38" t="s">
        <v>54</v>
      </c>
      <c r="K21" s="23" t="s">
        <v>136</v>
      </c>
      <c r="L21" s="23" t="s">
        <v>137</v>
      </c>
      <c r="M21" s="23" t="s">
        <v>70</v>
      </c>
      <c r="N21" s="23" t="s">
        <v>29</v>
      </c>
      <c r="O21" s="23" t="s">
        <v>30</v>
      </c>
      <c r="P21" s="16"/>
      <c r="Q21" s="16"/>
      <c r="R21" s="16"/>
      <c r="S21" s="23" t="s">
        <v>67</v>
      </c>
      <c r="T21" s="24" t="s">
        <v>133</v>
      </c>
      <c r="U21" s="16"/>
      <c r="V21" s="41">
        <v>30</v>
      </c>
      <c r="W21" s="16"/>
      <c r="X21" s="16"/>
      <c r="Y21" s="16"/>
      <c r="Z21" s="98">
        <v>1660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98"/>
      <c r="AM21" s="16"/>
      <c r="AN21" s="16">
        <v>1</v>
      </c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ht="36" x14ac:dyDescent="0.25">
      <c r="A22" s="22" t="s">
        <v>133</v>
      </c>
      <c r="B22" s="23" t="s">
        <v>23</v>
      </c>
      <c r="C22" s="23" t="s">
        <v>134</v>
      </c>
      <c r="D22" s="23" t="s">
        <v>135</v>
      </c>
      <c r="E22" s="23" t="s">
        <v>67</v>
      </c>
      <c r="F22" s="23" t="s">
        <v>66</v>
      </c>
      <c r="G22" s="23" t="s">
        <v>23</v>
      </c>
      <c r="H22" s="38" t="s">
        <v>54</v>
      </c>
      <c r="I22" s="32" t="s">
        <v>170</v>
      </c>
      <c r="J22" s="38" t="s">
        <v>54</v>
      </c>
      <c r="K22" s="23" t="s">
        <v>136</v>
      </c>
      <c r="L22" s="23" t="s">
        <v>137</v>
      </c>
      <c r="M22" s="23" t="s">
        <v>70</v>
      </c>
      <c r="N22" s="23" t="s">
        <v>29</v>
      </c>
      <c r="O22" s="23" t="s">
        <v>30</v>
      </c>
      <c r="P22" s="16"/>
      <c r="Q22" s="16"/>
      <c r="R22" s="16"/>
      <c r="S22" s="23" t="s">
        <v>67</v>
      </c>
      <c r="T22" s="24" t="s">
        <v>133</v>
      </c>
      <c r="U22" s="16"/>
      <c r="V22" s="41">
        <v>30</v>
      </c>
      <c r="W22" s="16"/>
      <c r="X22" s="16"/>
      <c r="Y22" s="16"/>
      <c r="Z22" s="16">
        <v>1810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>
        <v>4</v>
      </c>
      <c r="AO22" s="16">
        <v>4</v>
      </c>
      <c r="AP22" s="16">
        <v>2</v>
      </c>
      <c r="AQ22" s="16">
        <v>2</v>
      </c>
      <c r="AR22" s="16"/>
      <c r="AS22" s="16"/>
      <c r="AT22" s="16"/>
      <c r="AU22" s="16"/>
      <c r="AV22" s="16"/>
      <c r="AW22" s="16"/>
    </row>
    <row r="23" spans="1:49" ht="36" x14ac:dyDescent="0.25">
      <c r="A23" s="22" t="s">
        <v>133</v>
      </c>
      <c r="B23" s="23" t="s">
        <v>23</v>
      </c>
      <c r="C23" s="23" t="s">
        <v>134</v>
      </c>
      <c r="D23" s="23" t="s">
        <v>135</v>
      </c>
      <c r="E23" s="23" t="s">
        <v>67</v>
      </c>
      <c r="F23" s="23" t="s">
        <v>66</v>
      </c>
      <c r="G23" s="23" t="s">
        <v>23</v>
      </c>
      <c r="H23" s="38" t="s">
        <v>54</v>
      </c>
      <c r="I23" s="32" t="s">
        <v>170</v>
      </c>
      <c r="J23" s="38" t="s">
        <v>54</v>
      </c>
      <c r="K23" s="23" t="s">
        <v>136</v>
      </c>
      <c r="L23" s="23" t="s">
        <v>137</v>
      </c>
      <c r="M23" s="23" t="s">
        <v>70</v>
      </c>
      <c r="N23" s="23" t="s">
        <v>29</v>
      </c>
      <c r="O23" s="23" t="s">
        <v>30</v>
      </c>
      <c r="P23" s="16"/>
      <c r="Q23" s="16"/>
      <c r="R23" s="16"/>
      <c r="S23" s="23" t="s">
        <v>67</v>
      </c>
      <c r="T23" s="24" t="s">
        <v>133</v>
      </c>
      <c r="U23" s="16"/>
      <c r="V23" s="41">
        <v>30</v>
      </c>
      <c r="W23" s="16"/>
      <c r="X23" s="16"/>
      <c r="Y23" s="16"/>
      <c r="Z23" s="16">
        <v>1910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>
        <v>2</v>
      </c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36" x14ac:dyDescent="0.25">
      <c r="A24" s="22" t="s">
        <v>133</v>
      </c>
      <c r="B24" s="23" t="s">
        <v>23</v>
      </c>
      <c r="C24" s="23" t="s">
        <v>134</v>
      </c>
      <c r="D24" s="23" t="s">
        <v>135</v>
      </c>
      <c r="E24" s="23" t="s">
        <v>67</v>
      </c>
      <c r="F24" s="23" t="s">
        <v>66</v>
      </c>
      <c r="G24" s="23" t="s">
        <v>23</v>
      </c>
      <c r="H24" s="98" t="s">
        <v>26</v>
      </c>
      <c r="I24" s="98" t="s">
        <v>173</v>
      </c>
      <c r="J24" s="98" t="s">
        <v>26</v>
      </c>
      <c r="K24" s="23" t="s">
        <v>136</v>
      </c>
      <c r="L24" s="23" t="s">
        <v>137</v>
      </c>
      <c r="M24" s="23" t="s">
        <v>172</v>
      </c>
      <c r="N24" s="23" t="s">
        <v>29</v>
      </c>
      <c r="O24" s="23" t="s">
        <v>30</v>
      </c>
      <c r="P24" s="16"/>
      <c r="Q24" s="16"/>
      <c r="R24" s="16"/>
      <c r="S24" s="23" t="s">
        <v>67</v>
      </c>
      <c r="T24" s="24" t="s">
        <v>133</v>
      </c>
      <c r="U24" s="16"/>
      <c r="V24" s="16">
        <v>300</v>
      </c>
      <c r="W24" s="16"/>
      <c r="X24" s="16"/>
      <c r="Y24" s="16"/>
      <c r="Z24" s="16">
        <v>1300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>
        <v>6</v>
      </c>
      <c r="AR24" s="16"/>
      <c r="AS24" s="16"/>
      <c r="AT24" s="16"/>
      <c r="AU24" s="16"/>
      <c r="AV24" s="16">
        <v>4</v>
      </c>
      <c r="AW24" s="16"/>
    </row>
    <row r="25" spans="1:49" ht="36" x14ac:dyDescent="0.25">
      <c r="A25" s="22" t="s">
        <v>133</v>
      </c>
      <c r="B25" s="23" t="s">
        <v>23</v>
      </c>
      <c r="C25" s="23" t="s">
        <v>134</v>
      </c>
      <c r="D25" s="23" t="s">
        <v>135</v>
      </c>
      <c r="E25" s="23" t="s">
        <v>67</v>
      </c>
      <c r="F25" s="23" t="s">
        <v>66</v>
      </c>
      <c r="G25" s="23" t="s">
        <v>23</v>
      </c>
      <c r="H25" s="38" t="s">
        <v>54</v>
      </c>
      <c r="I25" s="32" t="s">
        <v>170</v>
      </c>
      <c r="J25" s="38" t="s">
        <v>54</v>
      </c>
      <c r="K25" s="23" t="s">
        <v>136</v>
      </c>
      <c r="L25" s="23" t="s">
        <v>137</v>
      </c>
      <c r="M25" s="23" t="s">
        <v>70</v>
      </c>
      <c r="N25" s="23" t="s">
        <v>29</v>
      </c>
      <c r="O25" s="23" t="s">
        <v>30</v>
      </c>
      <c r="P25" s="16"/>
      <c r="Q25" s="16"/>
      <c r="R25" s="16"/>
      <c r="S25" s="23" t="s">
        <v>67</v>
      </c>
      <c r="T25" s="24" t="s">
        <v>133</v>
      </c>
      <c r="U25" s="16"/>
      <c r="V25" s="16">
        <v>30</v>
      </c>
      <c r="W25" s="16"/>
      <c r="X25" s="16"/>
      <c r="Y25" s="16"/>
      <c r="Z25" s="16">
        <v>2250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>
        <v>2</v>
      </c>
      <c r="AR25" s="16">
        <v>4</v>
      </c>
      <c r="AS25" s="16">
        <v>4</v>
      </c>
      <c r="AT25" s="16">
        <v>10</v>
      </c>
      <c r="AU25" s="16"/>
      <c r="AV25" s="16"/>
      <c r="AW25" s="16"/>
    </row>
    <row r="26" spans="1:49" ht="36" x14ac:dyDescent="0.25">
      <c r="A26" s="22" t="s">
        <v>133</v>
      </c>
      <c r="B26" s="23" t="s">
        <v>23</v>
      </c>
      <c r="C26" s="23" t="s">
        <v>134</v>
      </c>
      <c r="D26" s="23" t="s">
        <v>135</v>
      </c>
      <c r="E26" s="23" t="s">
        <v>67</v>
      </c>
      <c r="F26" s="23" t="s">
        <v>66</v>
      </c>
      <c r="G26" s="23" t="s">
        <v>23</v>
      </c>
      <c r="H26" s="38" t="s">
        <v>54</v>
      </c>
      <c r="I26" s="32" t="s">
        <v>170</v>
      </c>
      <c r="J26" s="38" t="s">
        <v>54</v>
      </c>
      <c r="K26" s="23" t="s">
        <v>136</v>
      </c>
      <c r="L26" s="23" t="s">
        <v>137</v>
      </c>
      <c r="M26" s="23" t="s">
        <v>70</v>
      </c>
      <c r="N26" s="23" t="s">
        <v>29</v>
      </c>
      <c r="O26" s="23" t="s">
        <v>30</v>
      </c>
      <c r="P26" s="16"/>
      <c r="Q26" s="16"/>
      <c r="R26" s="16"/>
      <c r="S26" s="23" t="s">
        <v>67</v>
      </c>
      <c r="T26" s="24" t="s">
        <v>133</v>
      </c>
      <c r="U26" s="16"/>
      <c r="V26" s="16">
        <v>30</v>
      </c>
      <c r="W26" s="16"/>
      <c r="X26" s="16"/>
      <c r="Y26" s="16"/>
      <c r="Z26" s="16">
        <v>2100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>
        <v>3</v>
      </c>
      <c r="AR26" s="16"/>
      <c r="AS26" s="16">
        <v>1</v>
      </c>
      <c r="AT26" s="16">
        <v>1</v>
      </c>
      <c r="AU26" s="16"/>
      <c r="AV26" s="16"/>
      <c r="AW26" s="16"/>
    </row>
    <row r="27" spans="1:49" ht="36" x14ac:dyDescent="0.25">
      <c r="A27" s="22" t="s">
        <v>133</v>
      </c>
      <c r="B27" s="23" t="s">
        <v>23</v>
      </c>
      <c r="C27" s="23" t="s">
        <v>134</v>
      </c>
      <c r="D27" s="23" t="s">
        <v>135</v>
      </c>
      <c r="E27" s="23" t="s">
        <v>67</v>
      </c>
      <c r="F27" s="23" t="s">
        <v>66</v>
      </c>
      <c r="G27" s="23" t="s">
        <v>23</v>
      </c>
      <c r="H27" s="98" t="s">
        <v>26</v>
      </c>
      <c r="I27" s="98" t="s">
        <v>174</v>
      </c>
      <c r="J27" s="98" t="s">
        <v>26</v>
      </c>
      <c r="K27" s="23" t="s">
        <v>136</v>
      </c>
      <c r="L27" s="23" t="s">
        <v>137</v>
      </c>
      <c r="M27" s="16" t="s">
        <v>175</v>
      </c>
      <c r="N27" s="23" t="s">
        <v>29</v>
      </c>
      <c r="O27" s="23" t="s">
        <v>30</v>
      </c>
      <c r="P27" s="16"/>
      <c r="Q27" s="16"/>
      <c r="R27" s="16"/>
      <c r="S27" s="23" t="s">
        <v>67</v>
      </c>
      <c r="T27" s="24" t="s">
        <v>133</v>
      </c>
      <c r="U27" s="16"/>
      <c r="V27" s="16">
        <v>115</v>
      </c>
      <c r="W27" s="16"/>
      <c r="X27" s="16"/>
      <c r="Y27" s="16"/>
      <c r="Z27" s="16">
        <v>950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5</v>
      </c>
      <c r="AS27" s="16"/>
      <c r="AT27" s="16"/>
      <c r="AU27" s="16"/>
      <c r="AV27" s="16"/>
      <c r="AW27" s="16"/>
    </row>
    <row r="28" spans="1:49" ht="36" x14ac:dyDescent="0.25">
      <c r="A28" s="22" t="s">
        <v>133</v>
      </c>
      <c r="B28" s="23" t="s">
        <v>23</v>
      </c>
      <c r="C28" s="23" t="s">
        <v>134</v>
      </c>
      <c r="D28" s="23" t="s">
        <v>135</v>
      </c>
      <c r="E28" s="23" t="s">
        <v>67</v>
      </c>
      <c r="F28" s="23" t="s">
        <v>66</v>
      </c>
      <c r="G28" s="23" t="s">
        <v>23</v>
      </c>
      <c r="H28" s="98" t="s">
        <v>26</v>
      </c>
      <c r="I28" s="98" t="s">
        <v>174</v>
      </c>
      <c r="J28" s="98" t="s">
        <v>26</v>
      </c>
      <c r="K28" s="23" t="s">
        <v>136</v>
      </c>
      <c r="L28" s="23" t="s">
        <v>137</v>
      </c>
      <c r="M28" s="16" t="s">
        <v>100</v>
      </c>
      <c r="N28" s="23" t="s">
        <v>29</v>
      </c>
      <c r="O28" s="23" t="s">
        <v>30</v>
      </c>
      <c r="P28" s="16"/>
      <c r="Q28" s="16"/>
      <c r="R28" s="16"/>
      <c r="S28" s="23" t="s">
        <v>67</v>
      </c>
      <c r="T28" s="24" t="s">
        <v>133</v>
      </c>
      <c r="U28" s="16"/>
      <c r="V28" s="16">
        <v>110</v>
      </c>
      <c r="W28" s="16"/>
      <c r="X28" s="16"/>
      <c r="Y28" s="16"/>
      <c r="Z28" s="16">
        <v>950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>
        <v>5</v>
      </c>
      <c r="AS28" s="16"/>
      <c r="AT28" s="16"/>
      <c r="AU28" s="16"/>
      <c r="AV28" s="16"/>
      <c r="AW28" s="16"/>
    </row>
    <row r="29" spans="1:49" ht="36" x14ac:dyDescent="0.25">
      <c r="A29" s="22" t="s">
        <v>133</v>
      </c>
      <c r="B29" s="23" t="s">
        <v>23</v>
      </c>
      <c r="C29" s="23" t="s">
        <v>134</v>
      </c>
      <c r="D29" s="23" t="s">
        <v>135</v>
      </c>
      <c r="E29" s="23" t="s">
        <v>67</v>
      </c>
      <c r="F29" s="23" t="s">
        <v>66</v>
      </c>
      <c r="G29" s="23" t="s">
        <v>23</v>
      </c>
      <c r="H29" s="98" t="s">
        <v>176</v>
      </c>
      <c r="I29" s="98" t="s">
        <v>177</v>
      </c>
      <c r="J29" s="98" t="s">
        <v>176</v>
      </c>
      <c r="K29" s="23" t="s">
        <v>136</v>
      </c>
      <c r="L29" s="23" t="s">
        <v>137</v>
      </c>
      <c r="M29" s="23" t="s">
        <v>70</v>
      </c>
      <c r="N29" s="23" t="s">
        <v>29</v>
      </c>
      <c r="O29" s="23" t="s">
        <v>30</v>
      </c>
      <c r="P29" s="16"/>
      <c r="Q29" s="16"/>
      <c r="R29" s="16"/>
      <c r="S29" s="23" t="s">
        <v>67</v>
      </c>
      <c r="T29" s="24" t="s">
        <v>133</v>
      </c>
      <c r="U29" s="16"/>
      <c r="V29" s="16">
        <v>1844</v>
      </c>
      <c r="W29" s="16"/>
      <c r="X29" s="16"/>
      <c r="Y29" s="16"/>
      <c r="Z29" s="16">
        <v>5400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>
        <v>2</v>
      </c>
      <c r="AS29" s="16">
        <v>8</v>
      </c>
      <c r="AT29" s="16"/>
      <c r="AU29" s="16"/>
      <c r="AV29" s="16"/>
      <c r="AW29" s="16"/>
    </row>
    <row r="30" spans="1:49" ht="36" x14ac:dyDescent="0.25">
      <c r="A30" s="22" t="s">
        <v>133</v>
      </c>
      <c r="B30" s="23" t="s">
        <v>23</v>
      </c>
      <c r="C30" s="23" t="s">
        <v>134</v>
      </c>
      <c r="D30" s="23" t="s">
        <v>135</v>
      </c>
      <c r="E30" s="23" t="s">
        <v>67</v>
      </c>
      <c r="F30" s="23" t="s">
        <v>66</v>
      </c>
      <c r="G30" s="23" t="s">
        <v>23</v>
      </c>
      <c r="H30" s="98" t="s">
        <v>178</v>
      </c>
      <c r="I30" s="98" t="s">
        <v>47</v>
      </c>
      <c r="J30" s="98" t="s">
        <v>178</v>
      </c>
      <c r="K30" s="23" t="s">
        <v>136</v>
      </c>
      <c r="L30" s="23" t="s">
        <v>137</v>
      </c>
      <c r="M30" s="2" t="s">
        <v>97</v>
      </c>
      <c r="N30" s="23" t="s">
        <v>29</v>
      </c>
      <c r="O30" s="23" t="s">
        <v>30</v>
      </c>
      <c r="P30" s="16"/>
      <c r="Q30" s="16"/>
      <c r="R30" s="16"/>
      <c r="S30" s="23" t="s">
        <v>67</v>
      </c>
      <c r="T30" s="24" t="s">
        <v>133</v>
      </c>
      <c r="U30" s="16"/>
      <c r="V30" s="16">
        <v>803.25</v>
      </c>
      <c r="W30" s="16"/>
      <c r="X30" s="16"/>
      <c r="Y30" s="16"/>
      <c r="Z30" s="16">
        <v>2200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5</v>
      </c>
      <c r="AT30" s="16"/>
      <c r="AU30" s="16"/>
      <c r="AV30" s="16">
        <v>9</v>
      </c>
      <c r="AW30" s="16"/>
    </row>
    <row r="31" spans="1:49" ht="53.45" customHeight="1" x14ac:dyDescent="0.25">
      <c r="A31" s="16"/>
      <c r="B31" s="23" t="s">
        <v>23</v>
      </c>
      <c r="C31" s="23" t="s">
        <v>134</v>
      </c>
      <c r="D31" s="23" t="s">
        <v>135</v>
      </c>
      <c r="E31" s="23" t="s">
        <v>67</v>
      </c>
      <c r="F31" s="23" t="s">
        <v>66</v>
      </c>
      <c r="G31" s="23" t="s">
        <v>23</v>
      </c>
      <c r="H31" s="16" t="s">
        <v>93</v>
      </c>
      <c r="I31" s="100" t="s">
        <v>179</v>
      </c>
      <c r="J31" s="100" t="s">
        <v>179</v>
      </c>
      <c r="K31" s="99" t="s">
        <v>136</v>
      </c>
      <c r="L31" s="23" t="s">
        <v>137</v>
      </c>
      <c r="M31" s="2" t="s">
        <v>97</v>
      </c>
      <c r="N31" s="23" t="s">
        <v>29</v>
      </c>
      <c r="O31" s="23" t="s">
        <v>30</v>
      </c>
      <c r="P31" s="16"/>
      <c r="Q31" s="16"/>
      <c r="R31" s="16"/>
      <c r="S31" s="23" t="s">
        <v>67</v>
      </c>
      <c r="T31" s="24" t="s">
        <v>133</v>
      </c>
      <c r="U31" s="16"/>
      <c r="V31" s="16">
        <v>965</v>
      </c>
      <c r="W31" s="16"/>
      <c r="X31" s="16"/>
      <c r="Y31" s="16"/>
      <c r="Z31" s="16">
        <v>2600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  <c r="AT31" s="16"/>
      <c r="AU31" s="16"/>
      <c r="AV31" s="16"/>
      <c r="AW31" s="16"/>
    </row>
    <row r="32" spans="1:49" ht="36" x14ac:dyDescent="0.25">
      <c r="A32" s="22" t="s">
        <v>133</v>
      </c>
      <c r="B32" s="23" t="s">
        <v>23</v>
      </c>
      <c r="C32" s="23" t="s">
        <v>134</v>
      </c>
      <c r="D32" s="23" t="s">
        <v>135</v>
      </c>
      <c r="E32" s="23" t="s">
        <v>67</v>
      </c>
      <c r="F32" s="23" t="s">
        <v>66</v>
      </c>
      <c r="G32" s="23" t="s">
        <v>23</v>
      </c>
      <c r="H32" s="98" t="s">
        <v>26</v>
      </c>
      <c r="I32" s="98" t="s">
        <v>174</v>
      </c>
      <c r="J32" s="98" t="s">
        <v>26</v>
      </c>
      <c r="K32" s="23" t="s">
        <v>136</v>
      </c>
      <c r="L32" s="23" t="s">
        <v>137</v>
      </c>
      <c r="M32" s="16" t="s">
        <v>97</v>
      </c>
      <c r="N32" s="23" t="s">
        <v>29</v>
      </c>
      <c r="O32" s="23" t="s">
        <v>30</v>
      </c>
      <c r="P32" s="16"/>
      <c r="Q32" s="16"/>
      <c r="R32" s="16"/>
      <c r="S32" s="23" t="s">
        <v>67</v>
      </c>
      <c r="T32" s="24" t="s">
        <v>133</v>
      </c>
      <c r="U32" s="16"/>
      <c r="V32" s="16">
        <v>225</v>
      </c>
      <c r="W32" s="16"/>
      <c r="X32" s="16"/>
      <c r="Y32" s="16"/>
      <c r="Z32" s="16">
        <v>1000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>
        <v>7</v>
      </c>
      <c r="AU32" s="16"/>
      <c r="AV32" s="16"/>
      <c r="AW32" s="16"/>
    </row>
    <row r="33" spans="1:49" s="19" customFormat="1" ht="36" x14ac:dyDescent="0.2">
      <c r="A33" s="22" t="s">
        <v>133</v>
      </c>
      <c r="B33" s="23" t="s">
        <v>23</v>
      </c>
      <c r="C33" s="23" t="s">
        <v>134</v>
      </c>
      <c r="D33" s="23" t="s">
        <v>135</v>
      </c>
      <c r="E33" s="23" t="s">
        <v>67</v>
      </c>
      <c r="F33" s="23" t="s">
        <v>66</v>
      </c>
      <c r="G33" s="23" t="s">
        <v>23</v>
      </c>
      <c r="H33" s="32" t="s">
        <v>93</v>
      </c>
      <c r="I33" s="32" t="s">
        <v>169</v>
      </c>
      <c r="J33" s="32" t="s">
        <v>169</v>
      </c>
      <c r="K33" s="23" t="s">
        <v>136</v>
      </c>
      <c r="L33" s="23" t="s">
        <v>137</v>
      </c>
      <c r="M33" s="23" t="s">
        <v>70</v>
      </c>
      <c r="N33" s="23" t="s">
        <v>29</v>
      </c>
      <c r="O33" s="23" t="s">
        <v>30</v>
      </c>
      <c r="P33" s="33"/>
      <c r="Q33" s="33"/>
      <c r="R33" s="33"/>
      <c r="S33" s="23" t="s">
        <v>67</v>
      </c>
      <c r="T33" s="24" t="s">
        <v>133</v>
      </c>
      <c r="U33" s="34"/>
      <c r="V33" s="34">
        <v>1450</v>
      </c>
      <c r="W33" s="34"/>
      <c r="X33" s="34"/>
      <c r="Y33" s="34"/>
      <c r="Z33" s="35">
        <v>2670</v>
      </c>
      <c r="AA33" s="36"/>
      <c r="AB33" s="37"/>
      <c r="AC33" s="31"/>
      <c r="AD33" s="31"/>
      <c r="AE33" s="31"/>
      <c r="AF33" s="31"/>
      <c r="AG33" s="31"/>
      <c r="AH33" s="31"/>
      <c r="AI33" s="31"/>
      <c r="AJ33" s="31"/>
      <c r="AK33" s="30"/>
      <c r="AL33" s="31"/>
      <c r="AM33" s="31"/>
      <c r="AN33" s="38"/>
      <c r="AO33" s="38"/>
      <c r="AP33" s="39"/>
      <c r="AQ33" s="31"/>
      <c r="AR33" s="31"/>
      <c r="AS33" s="31"/>
      <c r="AT33" s="31">
        <v>4</v>
      </c>
      <c r="AU33" s="30"/>
      <c r="AV33" s="31"/>
      <c r="AW33" s="31"/>
    </row>
    <row r="34" spans="1:49" s="19" customFormat="1" ht="36" x14ac:dyDescent="0.2">
      <c r="A34" s="22" t="s">
        <v>133</v>
      </c>
      <c r="B34" s="23" t="s">
        <v>23</v>
      </c>
      <c r="C34" s="23" t="s">
        <v>134</v>
      </c>
      <c r="D34" s="23" t="s">
        <v>135</v>
      </c>
      <c r="E34" s="23" t="s">
        <v>67</v>
      </c>
      <c r="F34" s="23" t="s">
        <v>66</v>
      </c>
      <c r="G34" s="23" t="s">
        <v>23</v>
      </c>
      <c r="H34" s="32" t="s">
        <v>93</v>
      </c>
      <c r="I34" s="32" t="s">
        <v>169</v>
      </c>
      <c r="J34" s="32" t="s">
        <v>169</v>
      </c>
      <c r="K34" s="23" t="s">
        <v>136</v>
      </c>
      <c r="L34" s="23" t="s">
        <v>137</v>
      </c>
      <c r="M34" s="23" t="s">
        <v>70</v>
      </c>
      <c r="N34" s="23" t="s">
        <v>29</v>
      </c>
      <c r="O34" s="23" t="s">
        <v>30</v>
      </c>
      <c r="P34" s="33"/>
      <c r="Q34" s="33"/>
      <c r="R34" s="33"/>
      <c r="S34" s="23" t="s">
        <v>67</v>
      </c>
      <c r="T34" s="24" t="s">
        <v>133</v>
      </c>
      <c r="U34" s="34"/>
      <c r="V34" s="34">
        <v>1100</v>
      </c>
      <c r="W34" s="34"/>
      <c r="X34" s="34"/>
      <c r="Y34" s="34"/>
      <c r="Z34" s="35">
        <v>2670</v>
      </c>
      <c r="AA34" s="36"/>
      <c r="AB34" s="37"/>
      <c r="AC34" s="31"/>
      <c r="AD34" s="31"/>
      <c r="AE34" s="31"/>
      <c r="AF34" s="31"/>
      <c r="AG34" s="31"/>
      <c r="AH34" s="31"/>
      <c r="AI34" s="31"/>
      <c r="AJ34" s="31"/>
      <c r="AK34" s="30"/>
      <c r="AL34" s="31"/>
      <c r="AM34" s="31"/>
      <c r="AN34" s="38"/>
      <c r="AO34" s="38"/>
      <c r="AP34" s="39"/>
      <c r="AQ34" s="31"/>
      <c r="AR34" s="31"/>
      <c r="AS34" s="31"/>
      <c r="AT34" s="31"/>
      <c r="AU34" s="30">
        <v>11</v>
      </c>
      <c r="AV34" s="31"/>
      <c r="AW34" s="31"/>
    </row>
    <row r="35" spans="1:49" ht="36" x14ac:dyDescent="0.25">
      <c r="A35" s="22" t="s">
        <v>133</v>
      </c>
      <c r="B35" s="23" t="s">
        <v>23</v>
      </c>
      <c r="C35" s="23" t="s">
        <v>134</v>
      </c>
      <c r="D35" s="23" t="s">
        <v>135</v>
      </c>
      <c r="E35" s="23" t="s">
        <v>67</v>
      </c>
      <c r="F35" s="23" t="s">
        <v>66</v>
      </c>
      <c r="G35" s="23" t="s">
        <v>23</v>
      </c>
      <c r="H35" s="98" t="s">
        <v>178</v>
      </c>
      <c r="I35" s="98" t="s">
        <v>47</v>
      </c>
      <c r="J35" s="98" t="s">
        <v>178</v>
      </c>
      <c r="K35" s="23" t="s">
        <v>136</v>
      </c>
      <c r="L35" s="23" t="s">
        <v>137</v>
      </c>
      <c r="M35" s="2" t="s">
        <v>97</v>
      </c>
      <c r="N35" s="23" t="s">
        <v>29</v>
      </c>
      <c r="O35" s="23" t="s">
        <v>30</v>
      </c>
      <c r="P35" s="16"/>
      <c r="Q35" s="16"/>
      <c r="R35" s="16"/>
      <c r="S35" s="23" t="s">
        <v>67</v>
      </c>
      <c r="T35" s="24" t="s">
        <v>133</v>
      </c>
      <c r="U35" s="16"/>
      <c r="V35" s="16">
        <v>675</v>
      </c>
      <c r="W35" s="16"/>
      <c r="X35" s="16"/>
      <c r="Y35" s="16"/>
      <c r="Z35" s="16">
        <v>2200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>
        <v>20</v>
      </c>
      <c r="AV35" s="16"/>
      <c r="AW35" s="16"/>
    </row>
    <row r="36" spans="1:49" ht="36" x14ac:dyDescent="0.25">
      <c r="A36" s="22" t="s">
        <v>133</v>
      </c>
      <c r="B36" s="23" t="s">
        <v>23</v>
      </c>
      <c r="C36" s="23" t="s">
        <v>134</v>
      </c>
      <c r="D36" s="23" t="s">
        <v>135</v>
      </c>
      <c r="E36" s="23" t="s">
        <v>67</v>
      </c>
      <c r="F36" s="23" t="s">
        <v>66</v>
      </c>
      <c r="G36" s="23" t="s">
        <v>23</v>
      </c>
      <c r="H36" s="38" t="s">
        <v>54</v>
      </c>
      <c r="I36" s="32" t="s">
        <v>170</v>
      </c>
      <c r="J36" s="38" t="s">
        <v>54</v>
      </c>
      <c r="K36" s="23" t="s">
        <v>136</v>
      </c>
      <c r="L36" s="23" t="s">
        <v>137</v>
      </c>
      <c r="M36" s="23" t="s">
        <v>70</v>
      </c>
      <c r="N36" s="23" t="s">
        <v>29</v>
      </c>
      <c r="O36" s="23" t="s">
        <v>30</v>
      </c>
      <c r="P36" s="16"/>
      <c r="Q36" s="16"/>
      <c r="R36" s="16"/>
      <c r="S36" s="23" t="s">
        <v>67</v>
      </c>
      <c r="T36" s="24" t="s">
        <v>133</v>
      </c>
      <c r="U36" s="16"/>
      <c r="V36" s="34">
        <v>60</v>
      </c>
      <c r="W36" s="16"/>
      <c r="X36" s="16"/>
      <c r="Y36" s="16"/>
      <c r="Z36" s="16">
        <v>2250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>
        <v>6</v>
      </c>
      <c r="AV36" s="16">
        <v>6</v>
      </c>
      <c r="AW36" s="16"/>
    </row>
    <row r="37" spans="1:49" ht="30" customHeight="1" x14ac:dyDescent="0.25">
      <c r="A37" s="22" t="s">
        <v>133</v>
      </c>
      <c r="B37" s="23" t="s">
        <v>23</v>
      </c>
      <c r="C37" s="23" t="s">
        <v>134</v>
      </c>
      <c r="D37" s="23" t="s">
        <v>135</v>
      </c>
      <c r="E37" s="23" t="s">
        <v>67</v>
      </c>
      <c r="F37" s="23" t="s">
        <v>66</v>
      </c>
      <c r="G37" s="23" t="s">
        <v>23</v>
      </c>
      <c r="H37" s="38" t="s">
        <v>78</v>
      </c>
      <c r="I37" s="32" t="s">
        <v>180</v>
      </c>
      <c r="J37" s="38" t="s">
        <v>180</v>
      </c>
      <c r="K37" s="23" t="s">
        <v>136</v>
      </c>
      <c r="L37" s="23" t="s">
        <v>137</v>
      </c>
      <c r="M37" s="23" t="s">
        <v>70</v>
      </c>
      <c r="N37" s="23" t="s">
        <v>29</v>
      </c>
      <c r="O37" s="23" t="s">
        <v>30</v>
      </c>
      <c r="P37" s="16"/>
      <c r="Q37" s="16"/>
      <c r="R37" s="16"/>
      <c r="S37" s="23" t="s">
        <v>67</v>
      </c>
      <c r="T37" s="24" t="s">
        <v>133</v>
      </c>
      <c r="U37" s="16"/>
      <c r="V37" s="34">
        <v>269.5</v>
      </c>
      <c r="W37" s="16"/>
      <c r="X37" s="16"/>
      <c r="Y37" s="16"/>
      <c r="Z37" s="16">
        <v>900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>
        <v>45</v>
      </c>
      <c r="AW37" s="16"/>
    </row>
    <row r="38" spans="1:49" s="19" customFormat="1" ht="36" x14ac:dyDescent="0.2">
      <c r="A38" s="22" t="s">
        <v>133</v>
      </c>
      <c r="B38" s="23" t="s">
        <v>23</v>
      </c>
      <c r="C38" s="23" t="s">
        <v>134</v>
      </c>
      <c r="D38" s="23" t="s">
        <v>135</v>
      </c>
      <c r="E38" s="23" t="s">
        <v>67</v>
      </c>
      <c r="F38" s="23" t="s">
        <v>66</v>
      </c>
      <c r="G38" s="23" t="s">
        <v>23</v>
      </c>
      <c r="H38" s="32" t="s">
        <v>93</v>
      </c>
      <c r="I38" s="32" t="s">
        <v>169</v>
      </c>
      <c r="J38" s="32" t="s">
        <v>169</v>
      </c>
      <c r="K38" s="23" t="s">
        <v>136</v>
      </c>
      <c r="L38" s="23" t="s">
        <v>137</v>
      </c>
      <c r="M38" s="23" t="s">
        <v>70</v>
      </c>
      <c r="N38" s="23" t="s">
        <v>29</v>
      </c>
      <c r="O38" s="23" t="s">
        <v>30</v>
      </c>
      <c r="P38" s="33"/>
      <c r="Q38" s="33"/>
      <c r="R38" s="33"/>
      <c r="S38" s="23" t="s">
        <v>67</v>
      </c>
      <c r="T38" s="24" t="s">
        <v>133</v>
      </c>
      <c r="U38" s="34"/>
      <c r="V38" s="34">
        <v>1200</v>
      </c>
      <c r="W38" s="34"/>
      <c r="X38" s="34"/>
      <c r="Y38" s="34"/>
      <c r="Z38" s="35">
        <v>2670</v>
      </c>
      <c r="AA38" s="36"/>
      <c r="AB38" s="37"/>
      <c r="AC38" s="31"/>
      <c r="AD38" s="31"/>
      <c r="AE38" s="31"/>
      <c r="AF38" s="31"/>
      <c r="AG38" s="31"/>
      <c r="AH38" s="31"/>
      <c r="AI38" s="31"/>
      <c r="AJ38" s="31"/>
      <c r="AK38" s="30"/>
      <c r="AL38" s="31"/>
      <c r="AM38" s="31"/>
      <c r="AN38" s="38"/>
      <c r="AO38" s="38"/>
      <c r="AP38" s="39"/>
      <c r="AQ38" s="31"/>
      <c r="AR38" s="31"/>
      <c r="AS38" s="31"/>
      <c r="AT38" s="31"/>
      <c r="AU38" s="30"/>
      <c r="AV38" s="31">
        <v>5</v>
      </c>
      <c r="AW38" s="31"/>
    </row>
  </sheetData>
  <autoFilter ref="A12:AW38" xr:uid="{FD876D6E-0852-4B83-9C27-0B3889EF2C54}"/>
  <mergeCells count="86">
    <mergeCell ref="A3:A4"/>
    <mergeCell ref="B3:B4"/>
    <mergeCell ref="C3:C4"/>
    <mergeCell ref="D3:D4"/>
    <mergeCell ref="E3:E4"/>
    <mergeCell ref="Q3:Q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AB3:AB4"/>
    <mergeCell ref="R3:R4"/>
    <mergeCell ref="S3:S4"/>
    <mergeCell ref="T3:T4"/>
    <mergeCell ref="U3:U4"/>
    <mergeCell ref="V3:V4"/>
    <mergeCell ref="F12:F13"/>
    <mergeCell ref="G12:G13"/>
    <mergeCell ref="AO3:AO4"/>
    <mergeCell ref="AP3:AP4"/>
    <mergeCell ref="AQ3:AQ4"/>
    <mergeCell ref="AC3:AC4"/>
    <mergeCell ref="AD3:AD4"/>
    <mergeCell ref="AK3:AK4"/>
    <mergeCell ref="AL3:AL4"/>
    <mergeCell ref="AM3:AM4"/>
    <mergeCell ref="AN3:AN4"/>
    <mergeCell ref="W3:W4"/>
    <mergeCell ref="X3:X4"/>
    <mergeCell ref="Y3:Y4"/>
    <mergeCell ref="Z3:Z4"/>
    <mergeCell ref="AA3:AA4"/>
    <mergeCell ref="A12:A13"/>
    <mergeCell ref="B12:B13"/>
    <mergeCell ref="C12:C13"/>
    <mergeCell ref="D12:D13"/>
    <mergeCell ref="E12:E13"/>
    <mergeCell ref="S12:S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AS12:AS13"/>
    <mergeCell ref="AT12:AT13"/>
    <mergeCell ref="AU12:AU13"/>
    <mergeCell ref="AD12:AD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W3:AW4"/>
    <mergeCell ref="AW12:AW13"/>
    <mergeCell ref="AV12:AV13"/>
    <mergeCell ref="AK12:AK13"/>
    <mergeCell ref="AL12:AL13"/>
    <mergeCell ref="AM12:AM13"/>
    <mergeCell ref="AN12:AN13"/>
    <mergeCell ref="AO12:AO13"/>
    <mergeCell ref="AP12:AP13"/>
    <mergeCell ref="AU3:AU4"/>
    <mergeCell ref="AV3:AV4"/>
    <mergeCell ref="AR3:AR4"/>
    <mergeCell ref="AS3:AS4"/>
    <mergeCell ref="AT3:AT4"/>
    <mergeCell ref="AQ12:AQ13"/>
    <mergeCell ref="AR12:AR13"/>
  </mergeCells>
  <phoneticPr fontId="2" type="noConversion"/>
  <conditionalFormatting sqref="U5">
    <cfRule type="expression" dxfId="32" priority="67">
      <formula>AND(VLOOKUP($P5,MISSING,2,0)=1,ISBLANK(U5),$AD5="Missing Bids")</formula>
    </cfRule>
  </conditionalFormatting>
  <conditionalFormatting sqref="U17:U18">
    <cfRule type="expression" dxfId="31" priority="31">
      <formula>AND(VLOOKUP($P17,MISSING,3,0)=1,ISBLANK(U17),$AD17="Missing Bids")</formula>
    </cfRule>
  </conditionalFormatting>
  <conditionalFormatting sqref="U33:U34">
    <cfRule type="expression" dxfId="30" priority="14">
      <formula>AND(VLOOKUP($P33,MISSING,3,0)=1,ISBLANK(U33),$AD33="Missing Bids")</formula>
    </cfRule>
  </conditionalFormatting>
  <conditionalFormatting sqref="U38">
    <cfRule type="expression" dxfId="29" priority="5">
      <formula>AND(VLOOKUP($P38,MISSING,3,0)=1,ISBLANK(U38),$AD38="Missing Bids")</formula>
    </cfRule>
  </conditionalFormatting>
  <conditionalFormatting sqref="V5">
    <cfRule type="expression" dxfId="28" priority="70">
      <formula>AND(VLOOKUP($P5,MISSING,3,0)=1,ISBLANK(V5),$AD5="Missing Bids")</formula>
    </cfRule>
  </conditionalFormatting>
  <conditionalFormatting sqref="V17:V23">
    <cfRule type="expression" dxfId="27" priority="32">
      <formula>AND(VLOOKUP($P17,MISSING,4,0)=1,ISBLANK(V17),$AD17="Missing Bids")</formula>
    </cfRule>
  </conditionalFormatting>
  <conditionalFormatting sqref="V33:V34">
    <cfRule type="expression" dxfId="26" priority="15">
      <formula>AND(VLOOKUP($P33,MISSING,4,0)=1,ISBLANK(V33),$AD33="Missing Bids")</formula>
    </cfRule>
  </conditionalFormatting>
  <conditionalFormatting sqref="V36:V38">
    <cfRule type="expression" dxfId="25" priority="6">
      <formula>AND(VLOOKUP($P36,MISSING,4,0)=1,ISBLANK(V36),$AD36="Missing Bids")</formula>
    </cfRule>
  </conditionalFormatting>
  <conditionalFormatting sqref="W5">
    <cfRule type="expression" dxfId="24" priority="74">
      <formula>AND(VLOOKUP($P5,MISSING,4,0)=1,ISBLANK(W5),$AD5="Missing Bids")</formula>
    </cfRule>
  </conditionalFormatting>
  <conditionalFormatting sqref="W17:W18">
    <cfRule type="expression" dxfId="23" priority="33">
      <formula>AND(VLOOKUP($P17,MISSING,5,0)=1,ISBLANK(W17),$AD17="Missing Bids")</formula>
    </cfRule>
  </conditionalFormatting>
  <conditionalFormatting sqref="W33:W34">
    <cfRule type="expression" dxfId="22" priority="16">
      <formula>AND(VLOOKUP($P33,MISSING,5,0)=1,ISBLANK(W33),$AD33="Missing Bids")</formula>
    </cfRule>
  </conditionalFormatting>
  <conditionalFormatting sqref="W38">
    <cfRule type="expression" dxfId="21" priority="7">
      <formula>AND(VLOOKUP($P38,MISSING,5,0)=1,ISBLANK(W38),$AD38="Missing Bids")</formula>
    </cfRule>
  </conditionalFormatting>
  <conditionalFormatting sqref="X5">
    <cfRule type="expression" dxfId="20" priority="78">
      <formula>AND(VLOOKUP($P5,MISSING,5,0)=1,ISBLANK(X5),$AD5="Missing Bids")</formula>
    </cfRule>
  </conditionalFormatting>
  <conditionalFormatting sqref="X17:X18">
    <cfRule type="expression" dxfId="19" priority="34">
      <formula>AND(VLOOKUP($P17,MISSING,6,0)=1,ISBLANK(X17),$AD17="Missing Bids")</formula>
    </cfRule>
  </conditionalFormatting>
  <conditionalFormatting sqref="X33:X34">
    <cfRule type="expression" dxfId="18" priority="17">
      <formula>AND(VLOOKUP($P33,MISSING,6,0)=1,ISBLANK(X33),$AD33="Missing Bids")</formula>
    </cfRule>
  </conditionalFormatting>
  <conditionalFormatting sqref="X38">
    <cfRule type="expression" dxfId="17" priority="8">
      <formula>AND(VLOOKUP($P38,MISSING,6,0)=1,ISBLANK(X38),$AD38="Missing Bids")</formula>
    </cfRule>
  </conditionalFormatting>
  <conditionalFormatting sqref="Y5">
    <cfRule type="expression" dxfId="16" priority="82">
      <formula>AND(VLOOKUP($P5,MISSING,6,0)=1,ISBLANK(Y5),$AD5="Missing Bids")</formula>
    </cfRule>
  </conditionalFormatting>
  <conditionalFormatting sqref="Z17:Z18">
    <cfRule type="cellIs" dxfId="15" priority="27" operator="equal">
      <formula>"Missing Bids"</formula>
    </cfRule>
    <cfRule type="cellIs" dxfId="14" priority="28" operator="equal">
      <formula>"No Bids"</formula>
    </cfRule>
    <cfRule type="cellIs" dxfId="13" priority="26" operator="equal">
      <formula>"Complete"</formula>
    </cfRule>
  </conditionalFormatting>
  <conditionalFormatting sqref="Z33:Z34">
    <cfRule type="cellIs" dxfId="12" priority="12" operator="equal">
      <formula>"No Bids"</formula>
    </cfRule>
    <cfRule type="cellIs" dxfId="11" priority="11" operator="equal">
      <formula>"Missing Bids"</formula>
    </cfRule>
    <cfRule type="cellIs" dxfId="10" priority="10" operator="equal">
      <formula>"Complete"</formula>
    </cfRule>
  </conditionalFormatting>
  <conditionalFormatting sqref="Z38">
    <cfRule type="cellIs" dxfId="9" priority="3" operator="equal">
      <formula>"No Bids"</formula>
    </cfRule>
    <cfRule type="cellIs" dxfId="8" priority="2" operator="equal">
      <formula>"Missing Bids"</formula>
    </cfRule>
    <cfRule type="cellIs" dxfId="7" priority="1" operator="equal">
      <formula>"Complete"</formula>
    </cfRule>
  </conditionalFormatting>
  <conditionalFormatting sqref="AA5">
    <cfRule type="cellIs" dxfId="6" priority="58" operator="equal">
      <formula>"Complete"</formula>
    </cfRule>
    <cfRule type="cellIs" dxfId="5" priority="59" operator="equal">
      <formula>"Missing Bids"</formula>
    </cfRule>
    <cfRule type="cellIs" dxfId="4" priority="60" operator="equal">
      <formula>"No Bids"</formula>
    </cfRule>
  </conditionalFormatting>
  <conditionalFormatting sqref="AB17:AB18">
    <cfRule type="notContainsBlanks" dxfId="3" priority="29">
      <formula>LEN(TRIM(AB17))&gt;0</formula>
    </cfRule>
  </conditionalFormatting>
  <conditionalFormatting sqref="AB33:AB34">
    <cfRule type="notContainsBlanks" dxfId="2" priority="13">
      <formula>LEN(TRIM(AB33))&gt;0</formula>
    </cfRule>
  </conditionalFormatting>
  <conditionalFormatting sqref="AB38">
    <cfRule type="notContainsBlanks" dxfId="1" priority="4">
      <formula>LEN(TRIM(AB38))&gt;0</formula>
    </cfRule>
  </conditionalFormatting>
  <conditionalFormatting sqref="AC5">
    <cfRule type="notContainsBlanks" dxfId="0" priority="66">
      <formula>LEN(TRIM(AC5))&gt;0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dd9b6d-ee12-4057-bf32-66afe96d3cfe" xsi:nil="true"/>
    <lcf76f155ced4ddcb4097134ff3c332f xmlns="ba58f016-325a-47fd-87d2-fca49eb341a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B93EF48A06C44CB791E05139552A11" ma:contentTypeVersion="15" ma:contentTypeDescription="Create a new document." ma:contentTypeScope="" ma:versionID="010bc745a6e245e9a1e280073236f2a2">
  <xsd:schema xmlns:xsd="http://www.w3.org/2001/XMLSchema" xmlns:xs="http://www.w3.org/2001/XMLSchema" xmlns:p="http://schemas.microsoft.com/office/2006/metadata/properties" xmlns:ns2="ba58f016-325a-47fd-87d2-fca49eb341a2" xmlns:ns3="30dd9b6d-ee12-4057-bf32-66afe96d3cfe" targetNamespace="http://schemas.microsoft.com/office/2006/metadata/properties" ma:root="true" ma:fieldsID="4296cb6d79b13617ec2a76761749b951" ns2:_="" ns3:_="">
    <xsd:import namespace="ba58f016-325a-47fd-87d2-fca49eb341a2"/>
    <xsd:import namespace="30dd9b6d-ee12-4057-bf32-66afe96d3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8f016-325a-47fd-87d2-fca49eb34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5c89b78-42da-4750-8089-7248a17ae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9b6d-ee12-4057-bf32-66afe96d3c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f4e4078-1a03-4290-8da5-fb86edcd1941}" ma:internalName="TaxCatchAll" ma:showField="CatchAllData" ma:web="30dd9b6d-ee12-4057-bf32-66afe96d3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DD84D1-46A0-4240-8965-D7ADB6975B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F91F5A-F751-412C-9AEB-522446E5BF7B}">
  <ds:schemaRefs>
    <ds:schemaRef ds:uri="ba58f016-325a-47fd-87d2-fca49eb341a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0dd9b6d-ee12-4057-bf32-66afe96d3cfe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D6E7442-9418-4A00-8F61-9272F1D7C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8f016-325a-47fd-87d2-fca49eb341a2"/>
    <ds:schemaRef ds:uri="30dd9b6d-ee12-4057-bf32-66afe96d3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Awarded </vt:lpstr>
      <vt:lpstr>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Ng</dc:creator>
  <cp:lastModifiedBy>Phakkhaphong - E-WAY THAI</cp:lastModifiedBy>
  <dcterms:created xsi:type="dcterms:W3CDTF">2025-07-01T04:11:46Z</dcterms:created>
  <dcterms:modified xsi:type="dcterms:W3CDTF">2026-07-27T06:59:04Z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0x010100E3B93EF48A06C44CB791E05139552A11</vt:lpwstr>
  </property>
  <property fmtid="{D5CDD505-2E9C-101B-9397-08002B2CF9AE}" pid="3" name="MediaServiceImageTags">
    <vt:lpwstr/>
  </property>
</Properties>
</file>
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wayalliance-my.sharepoint.com/personal/nuttapong_eway-alliance_com/Documents/SALES DEPART/DOW CHEMICAL/2026/LOADING REPORT/006 JUNE/"/>
    </mc:Choice>
  </mc:AlternateContent>
  <xr:revisionPtr revIDLastSave="0" documentId="8_{E0EC3099-0600-493E-9B4D-DFA714461CAA}" xr6:coauthVersionLast="47" xr6:coauthVersionMax="47" xr10:uidLastSave="{00000000-0000-0000-0000-000000000000}"/>
  <bookViews>
    <workbookView xWindow="-120" yWindow="-16320" windowWidth="29040" windowHeight="15720" xr2:uid="{D6A2ADA4-33F7-4373-8561-B45EA905EF32}"/>
  </bookViews>
  <sheets>
    <sheet name="Awarded " sheetId="1" r:id="rId1"/>
    <sheet name="Spot" sheetId="2" r:id="rId2"/>
  </sheets>
  <externalReferences>
    <externalReference r:id="rId3"/>
  </externalReferences>
  <definedNames>
    <definedName name="_xlnm._FilterDatabase" localSheetId="0" hidden="1">'Awarded '!$A$6:$AJ$49</definedName>
    <definedName name="_xlnm._FilterDatabase" localSheetId="1" hidden="1">Spot!$A$12:$AQ$35</definedName>
    <definedName name="MISSING">[1]Validation!$A$20:$F$24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9" i="1" l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7" i="1"/>
  <c r="W38" i="1"/>
  <c r="W8" i="1"/>
  <c r="W49" i="1" l="1"/>
  <c r="AJ39" i="1"/>
  <c r="AJ40" i="1" s="1"/>
  <c r="AJ41" i="1" l="1"/>
  <c r="AJ42" i="1" s="1"/>
  <c r="AJ43" i="1" l="1"/>
  <c r="AJ44" i="1" l="1"/>
  <c r="AJ45" i="1" l="1"/>
  <c r="AJ46" i="1" s="1"/>
  <c r="AJ47" i="1" s="1"/>
  <c r="AJ48" i="1" s="1"/>
  <c r="AJ4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Coupa Sourcing Optimization 32.0.0</author>
  </authors>
  <commentList>
    <comment ref="A6" authorId="0" shapeId="0" xr:uid="{82434E00-5895-45F4-B077-977A595F7D2B}">
      <text>
        <r>
          <rPr>
            <sz val="10"/>
            <color theme="1"/>
            <rFont val="Arial"/>
            <family val="2"/>
          </rPr>
          <t>The name of the item to place a bid
on.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Coupa Sourcing Optimization 32.0.0</author>
  </authors>
  <commentList>
    <comment ref="A3" authorId="0" shapeId="0" xr:uid="{CFBECD03-C1C0-4B01-811C-03AB836B1D9E}">
      <text>
        <r>
          <rPr>
            <sz val="10"/>
            <color theme="1"/>
            <rFont val="Arial"/>
            <family val="2"/>
          </rPr>
          <t>The name of the item to place a bid
on.</t>
        </r>
      </text>
    </comment>
    <comment ref="A12" authorId="0" shapeId="0" xr:uid="{4EB55312-D687-4778-B0E5-3511AF7E58A7}">
      <text>
        <r>
          <rPr>
            <sz val="10"/>
            <color theme="1"/>
            <rFont val="Arial"/>
            <family val="2"/>
          </rPr>
          <t>The name of the item to place a bid
on.</t>
        </r>
      </text>
    </comment>
  </commentList>
</comments>
</file>

<file path=xl/sharedStrings.xml><?xml version="1.0" encoding="utf-8"?>
<sst xmlns="http://schemas.openxmlformats.org/spreadsheetml/2006/main" count="1118" uniqueCount="181">
  <si>
    <t>Item Name</t>
  </si>
  <si>
    <t>Supplying Region</t>
  </si>
  <si>
    <t>Plant Location</t>
  </si>
  <si>
    <t>Shipping Country</t>
  </si>
  <si>
    <t>Shipping Port Name</t>
  </si>
  <si>
    <t>Ship To Region</t>
  </si>
  <si>
    <t>Destination Country</t>
  </si>
  <si>
    <t>Destination Port Name</t>
  </si>
  <si>
    <t>Destination City</t>
  </si>
  <si>
    <t>Perf Center</t>
  </si>
  <si>
    <t>Movement Type</t>
  </si>
  <si>
    <t>Equipment Type</t>
  </si>
  <si>
    <t>Required Free Detention Days at Destination</t>
  </si>
  <si>
    <t>Prep Cost Region</t>
  </si>
  <si>
    <t>12-Months volume forecast - Number of Isotanks</t>
  </si>
  <si>
    <t>Sea Freight Port to Port including fuel</t>
  </si>
  <si>
    <t>On Carriage</t>
  </si>
  <si>
    <t>Equipment Prep at Origin</t>
  </si>
  <si>
    <t>Cleaning, repo, misc. cost at destination</t>
  </si>
  <si>
    <t>All-in Rate</t>
  </si>
  <si>
    <t>Bid Completion</t>
  </si>
  <si>
    <t>Awarded Volume Allocation%</t>
  </si>
  <si>
    <t>CO0185</t>
  </si>
  <si>
    <t>APAC</t>
  </si>
  <si>
    <t>BUSAN</t>
  </si>
  <si>
    <t>SOUTH KOREA</t>
  </si>
  <si>
    <t>CHINA</t>
  </si>
  <si>
    <t>Nanjing</t>
  </si>
  <si>
    <t>SADARA ETHYLENEAMINES</t>
  </si>
  <si>
    <t>PORT TO PORT</t>
  </si>
  <si>
    <t>ISO Tank - Standard</t>
  </si>
  <si>
    <t>15</t>
  </si>
  <si>
    <t>CO0186</t>
  </si>
  <si>
    <t>NANSHA</t>
  </si>
  <si>
    <t>OXO ACIDS</t>
  </si>
  <si>
    <t>CO0187</t>
  </si>
  <si>
    <t>Complete</t>
  </si>
  <si>
    <t>CO0204</t>
  </si>
  <si>
    <t>JAPAN</t>
  </si>
  <si>
    <t>Nagoya</t>
  </si>
  <si>
    <t>SADARA FLEXIBLES MOLDED</t>
  </si>
  <si>
    <t>CO0209</t>
  </si>
  <si>
    <t>Yokohama</t>
  </si>
  <si>
    <t>PROPIONIC ESTERS</t>
  </si>
  <si>
    <t>CO0210</t>
  </si>
  <si>
    <t>SADARA ETHANOLAMINES</t>
  </si>
  <si>
    <t>CO0221</t>
  </si>
  <si>
    <t>PHILIPPINES</t>
  </si>
  <si>
    <t>MANILA NORTH</t>
  </si>
  <si>
    <t>CO0226</t>
  </si>
  <si>
    <t>TAIWAN</t>
  </si>
  <si>
    <t>Kaohsiung</t>
  </si>
  <si>
    <t>2-ETHYLHEXYL ACRYLATE</t>
  </si>
  <si>
    <t>CO0236</t>
  </si>
  <si>
    <t>VIETNAM</t>
  </si>
  <si>
    <t>HO CHI MINH, CAT LAI</t>
  </si>
  <si>
    <t>SADARA BUTYL GLYCOL ETHERS</t>
  </si>
  <si>
    <t>CO0238</t>
  </si>
  <si>
    <t>EMEAI</t>
  </si>
  <si>
    <t>UNITED ARAB EMIRATES</t>
  </si>
  <si>
    <t>Jebel Ali</t>
  </si>
  <si>
    <t>HIGH TEMP FLUIDS</t>
  </si>
  <si>
    <t>CO0252</t>
  </si>
  <si>
    <t>ULSAN</t>
  </si>
  <si>
    <t>HAIPHONG</t>
  </si>
  <si>
    <t>CO0294</t>
  </si>
  <si>
    <t>LAEM CHABANG</t>
  </si>
  <si>
    <t>THAILAND</t>
  </si>
  <si>
    <t>AUSTRALIA</t>
  </si>
  <si>
    <t>Adelaide</t>
  </si>
  <si>
    <t>FLEXIBLES SLAB</t>
  </si>
  <si>
    <t>CO0296</t>
  </si>
  <si>
    <t>Brisbane</t>
  </si>
  <si>
    <t>CO0299</t>
  </si>
  <si>
    <t>Melbourne</t>
  </si>
  <si>
    <t>CO0302</t>
  </si>
  <si>
    <t>Sydney</t>
  </si>
  <si>
    <t>CO0339</t>
  </si>
  <si>
    <t>INDONESIA</t>
  </si>
  <si>
    <t>Jakarta</t>
  </si>
  <si>
    <t>CO0349</t>
  </si>
  <si>
    <t>MALAYSIA</t>
  </si>
  <si>
    <t>PASIR GUDANG</t>
  </si>
  <si>
    <t>AA ARCHITECTURAL</t>
  </si>
  <si>
    <t>CO0357</t>
  </si>
  <si>
    <t>NEW ZEALAND</t>
  </si>
  <si>
    <t>AUCKLAND</t>
  </si>
  <si>
    <t>CO0358</t>
  </si>
  <si>
    <t>WELLINGTON</t>
  </si>
  <si>
    <t>PGI</t>
  </si>
  <si>
    <t>CO0386</t>
  </si>
  <si>
    <t>CO0388</t>
  </si>
  <si>
    <t>CO0400</t>
  </si>
  <si>
    <t>INDIA</t>
  </si>
  <si>
    <t>Nhava Sheva</t>
  </si>
  <si>
    <t>CASE-POLYOLS</t>
  </si>
  <si>
    <t>CO0401</t>
  </si>
  <si>
    <t>DOMESTIC APPLIANCE</t>
  </si>
  <si>
    <t>CO0403</t>
  </si>
  <si>
    <t>CO0405</t>
  </si>
  <si>
    <t>RIGIDS</t>
  </si>
  <si>
    <t>CO0406</t>
  </si>
  <si>
    <t>PIPAVAV</t>
  </si>
  <si>
    <t>CO0407</t>
  </si>
  <si>
    <t>CO1063</t>
  </si>
  <si>
    <t>SADARA</t>
  </si>
  <si>
    <t>JUBAIL</t>
  </si>
  <si>
    <t>SAUDI ARABIA</t>
  </si>
  <si>
    <t>Dongguan</t>
  </si>
  <si>
    <t>CO1064</t>
  </si>
  <si>
    <t>SADARA TPG</t>
  </si>
  <si>
    <t>CO1065</t>
  </si>
  <si>
    <t>DONGGUAN, SHATIAN</t>
  </si>
  <si>
    <t>CO1066</t>
  </si>
  <si>
    <t>Eway Actual TEUs</t>
  </si>
  <si>
    <t>Total</t>
  </si>
  <si>
    <t>Jul 25</t>
  </si>
  <si>
    <t>Aug 25</t>
  </si>
  <si>
    <t>Sep 25</t>
  </si>
  <si>
    <t>Oct 25</t>
  </si>
  <si>
    <t>Nov 25</t>
  </si>
  <si>
    <t>Jan 26</t>
  </si>
  <si>
    <t>Awarded Lanes to E-Way Group</t>
  </si>
  <si>
    <t>1st July 2025 to 30 June 2026</t>
  </si>
  <si>
    <t>DOW CHEMICAL ISOTANK 2025-2026</t>
  </si>
  <si>
    <t>SPOT ORDERS/VOLUMES AWARD FROM DOW CHEMICAL</t>
  </si>
  <si>
    <t>Supplying Plant Name</t>
  </si>
  <si>
    <t>Business Group Name</t>
  </si>
  <si>
    <t>Value Center Name</t>
  </si>
  <si>
    <t>Tank Detention Charge after required free time (USD/day)</t>
  </si>
  <si>
    <t>Loading Requirements/Special Needs</t>
  </si>
  <si>
    <t>Pre Carriage</t>
  </si>
  <si>
    <t xml:space="preserve">
Is auctioned?</t>
  </si>
  <si>
    <t>NA</t>
  </si>
  <si>
    <t>Rayong</t>
  </si>
  <si>
    <t>Maptaphut DMC Polyol</t>
  </si>
  <si>
    <t>POLYURETHANES &amp; CONSTRUCTION CHEMICALS</t>
  </si>
  <si>
    <t>COMMODITY POLYOLS</t>
  </si>
  <si>
    <t>(ABOVE IS A SAMPLE ON HOW TO FILL IN THE INFORMATION BELOW)</t>
  </si>
  <si>
    <t>Dec 25</t>
  </si>
  <si>
    <t>Feb 26</t>
  </si>
  <si>
    <t>Mar 26</t>
  </si>
  <si>
    <t>Apr 26</t>
  </si>
  <si>
    <t>May 26</t>
  </si>
  <si>
    <t>Jun 26</t>
  </si>
  <si>
    <t>APA014</t>
  </si>
  <si>
    <t>ICD DADRI VIA NHAVA SHEVA</t>
  </si>
  <si>
    <t>HAZ MAT FEE TRUCK</t>
  </si>
  <si>
    <t>CO0189</t>
  </si>
  <si>
    <t>Ningbo</t>
  </si>
  <si>
    <t>CO1118</t>
  </si>
  <si>
    <t>Shanghai</t>
  </si>
  <si>
    <t>CO1121</t>
  </si>
  <si>
    <t>ZHUHAI, GAOLAN</t>
  </si>
  <si>
    <t>CO0221-1</t>
  </si>
  <si>
    <t>ETHANOLAMINES</t>
  </si>
  <si>
    <t>CO0196</t>
  </si>
  <si>
    <t>Zhangjiagang</t>
  </si>
  <si>
    <t>APA001</t>
  </si>
  <si>
    <t>Fremantle</t>
  </si>
  <si>
    <t>UCARSOLS</t>
  </si>
  <si>
    <t>APA002</t>
  </si>
  <si>
    <t>APA003</t>
  </si>
  <si>
    <t>Darwin</t>
  </si>
  <si>
    <t>HIGHER GLYCOLS</t>
  </si>
  <si>
    <t>APA004</t>
  </si>
  <si>
    <t>Perth</t>
  </si>
  <si>
    <t xml:space="preserve">Supplementary </t>
  </si>
  <si>
    <t xml:space="preserve">Additional </t>
  </si>
  <si>
    <t>KOLKATA</t>
  </si>
  <si>
    <t>HOCHIMINH</t>
  </si>
  <si>
    <t>KATUPALLI</t>
  </si>
  <si>
    <t>PO/PG</t>
  </si>
  <si>
    <t>SHANTIAN</t>
  </si>
  <si>
    <t>ZHANGJIAGANG</t>
  </si>
  <si>
    <t>CASE POLYOL</t>
  </si>
  <si>
    <t>SOUTH AFRICA</t>
  </si>
  <si>
    <t>DURBAN</t>
  </si>
  <si>
    <t>MANILA</t>
  </si>
  <si>
    <t>Visakhapatnam</t>
  </si>
  <si>
    <t>JAKARTA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</si>
</sst>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yyyy\-mm\-dd;@"/>
    <numFmt numFmtId="165" formatCode="_(* #,##0_);_(* \(#,##0\);_(* &quot;-&quot;??_);_(@_)"/>
  </numFmts>
  <fonts count="1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9"/>
      <color rgb="FF000000"/>
      <name val="arial"/>
      <family val="2"/>
    </font>
    <font>
      <sz val="11"/>
      <color theme="1"/>
      <name val="Aptos Narrow"/>
      <family val="2"/>
      <scheme val="minor"/>
    </font>
    <font>
      <sz val="10"/>
      <color rgb="FFFF0000"/>
      <name val="arial"/>
      <family val="2"/>
    </font>
    <font>
      <sz val="12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BE5D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43" fontId="14" fillId="0" borderId="0" applyFont="0" applyFill="0" applyBorder="0" applyAlignment="0" applyProtection="0"/>
    <xf numFmtId="9" fontId="14" fillId="0" borderId="0" applyFont="0" applyFill="0" applyBorder="0" applyAlignment="0" applyProtection="0"/>
  </cellStyleXfs>
  <cellXfs count="118">
    <xf numFmtId="0" fontId="0" fillId="0" borderId="0" xfId="0"/>
    <xf numFmtId="49" fontId="4" fillId="4" borderId="2" xfId="0" applyNumberFormat="1" applyFont="1" applyFill="1" applyBorder="1" applyAlignment="1">
      <alignment vertical="center"/>
    </xf>
    <xf numFmtId="49" fontId="4" fillId="4" borderId="2" xfId="0" applyNumberFormat="1" applyFont="1" applyFill="1" applyBorder="1" applyAlignment="1">
      <alignment vertical="center" wrapText="1"/>
    </xf>
    <xf numFmtId="3" fontId="4" fillId="4" borderId="2" xfId="0" applyNumberFormat="1" applyFont="1" applyFill="1" applyBorder="1" applyAlignment="1">
      <alignment horizontal="center" vertical="center" wrapText="1"/>
    </xf>
    <xf numFmtId="4" fontId="4" fillId="5" borderId="2" xfId="0" applyNumberFormat="1" applyFont="1" applyFill="1" applyBorder="1" applyAlignment="1">
      <alignment vertical="center" wrapText="1"/>
    </xf>
    <xf numFmtId="0" fontId="1" fillId="0" borderId="0" xfId="0" applyFont="1"/>
    <xf numFmtId="1" fontId="1" fillId="0" borderId="3" xfId="0" applyNumberFormat="1" applyFont="1" applyBorder="1"/>
    <xf numFmtId="0" fontId="1" fillId="0" borderId="3" xfId="0" applyFont="1" applyBorder="1"/>
    <xf numFmtId="0" fontId="7" fillId="0" borderId="0" xfId="0" applyFont="1"/>
    <xf numFmtId="0" fontId="8" fillId="0" borderId="0" xfId="0" applyFont="1"/>
    <xf numFmtId="49" fontId="4" fillId="4" borderId="1" xfId="0" applyNumberFormat="1" applyFont="1" applyFill="1" applyBorder="1" applyAlignment="1">
      <alignment vertical="center"/>
    </xf>
    <xf numFmtId="49" fontId="4" fillId="4" borderId="1" xfId="0" applyNumberFormat="1" applyFont="1" applyFill="1" applyBorder="1" applyAlignment="1">
      <alignment vertical="center" wrapText="1"/>
    </xf>
    <xf numFmtId="3" fontId="4" fillId="4" borderId="1" xfId="0" applyNumberFormat="1" applyFont="1" applyFill="1" applyBorder="1" applyAlignment="1">
      <alignment horizontal="center" vertical="center" wrapText="1"/>
    </xf>
    <xf numFmtId="4" fontId="4" fillId="5" borderId="1" xfId="0" applyNumberFormat="1" applyFont="1" applyFill="1" applyBorder="1" applyAlignment="1">
      <alignment vertical="center" wrapText="1"/>
    </xf>
    <xf numFmtId="1" fontId="1" fillId="0" borderId="4" xfId="0" applyNumberFormat="1" applyFont="1" applyBorder="1"/>
    <xf numFmtId="0" fontId="1" fillId="0" borderId="4" xfId="0" applyFont="1" applyBorder="1"/>
    <xf numFmtId="0" fontId="0" fillId="0" borderId="3" xfId="0" applyBorder="1"/>
    <xf numFmtId="0" fontId="6" fillId="0" borderId="0" xfId="0" applyFont="1"/>
    <xf numFmtId="0" fontId="9" fillId="0" borderId="0" xfId="0" applyFont="1"/>
    <xf numFmtId="0" fontId="10" fillId="0" borderId="0" xfId="0" applyFont="1"/>
    <xf numFmtId="0" fontId="11" fillId="11" borderId="0" xfId="0" applyFont="1" applyFill="1"/>
    <xf numFmtId="0" fontId="12" fillId="0" borderId="0" xfId="0" applyFont="1"/>
    <xf numFmtId="49" fontId="13" fillId="4" borderId="1" xfId="0" applyNumberFormat="1" applyFont="1" applyFill="1" applyBorder="1" applyAlignment="1">
      <alignment horizontal="center" vertical="center"/>
    </xf>
    <xf numFmtId="49" fontId="13" fillId="4" borderId="1" xfId="0" applyNumberFormat="1" applyFont="1" applyFill="1" applyBorder="1" applyAlignment="1">
      <alignment horizontal="center" vertical="center" wrapText="1"/>
    </xf>
    <xf numFmtId="3" fontId="13" fillId="4" borderId="1" xfId="0" applyNumberFormat="1" applyFont="1" applyFill="1" applyBorder="1" applyAlignment="1">
      <alignment horizontal="center" vertical="center" wrapText="1"/>
    </xf>
    <xf numFmtId="4" fontId="13" fillId="9" borderId="1" xfId="0" applyNumberFormat="1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/>
    </xf>
    <xf numFmtId="49" fontId="13" fillId="10" borderId="1" xfId="0" applyNumberFormat="1" applyFont="1" applyFill="1" applyBorder="1" applyAlignment="1">
      <alignment horizontal="center" vertical="center" wrapText="1"/>
    </xf>
    <xf numFmtId="10" fontId="13" fillId="10" borderId="5" xfId="0" applyNumberFormat="1" applyFont="1" applyFill="1" applyBorder="1" applyAlignment="1">
      <alignment horizontal="center" vertical="center" wrapText="1"/>
    </xf>
    <xf numFmtId="3" fontId="10" fillId="0" borderId="3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3" xfId="0" applyFont="1" applyBorder="1"/>
    <xf numFmtId="49" fontId="13" fillId="4" borderId="2" xfId="0" applyNumberFormat="1" applyFont="1" applyFill="1" applyBorder="1" applyAlignment="1">
      <alignment horizontal="center" vertical="center" wrapText="1"/>
    </xf>
    <xf numFmtId="49" fontId="13" fillId="4" borderId="3" xfId="0" applyNumberFormat="1" applyFont="1" applyFill="1" applyBorder="1" applyAlignment="1">
      <alignment horizontal="center" vertical="center" wrapText="1"/>
    </xf>
    <xf numFmtId="4" fontId="13" fillId="0" borderId="3" xfId="0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49" fontId="13" fillId="0" borderId="3" xfId="0" applyNumberFormat="1" applyFont="1" applyBorder="1" applyAlignment="1">
      <alignment horizontal="center" vertical="center" wrapText="1"/>
    </xf>
    <xf numFmtId="10" fontId="13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49" fontId="13" fillId="4" borderId="9" xfId="0" applyNumberFormat="1" applyFont="1" applyFill="1" applyBorder="1" applyAlignment="1">
      <alignment horizontal="center" vertical="center" wrapText="1"/>
    </xf>
    <xf numFmtId="4" fontId="13" fillId="0" borderId="9" xfId="0" applyNumberFormat="1" applyFont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/>
    </xf>
    <xf numFmtId="49" fontId="13" fillId="0" borderId="9" xfId="0" applyNumberFormat="1" applyFont="1" applyBorder="1" applyAlignment="1">
      <alignment horizontal="center" vertical="center" wrapText="1"/>
    </xf>
    <xf numFmtId="10" fontId="13" fillId="0" borderId="9" xfId="0" applyNumberFormat="1" applyFont="1" applyBorder="1" applyAlignment="1">
      <alignment horizontal="center" vertical="center" wrapText="1"/>
    </xf>
    <xf numFmtId="0" fontId="10" fillId="0" borderId="9" xfId="0" applyFont="1" applyBorder="1"/>
    <xf numFmtId="0" fontId="1" fillId="0" borderId="3" xfId="0" applyFont="1" applyBorder="1" applyAlignment="1">
      <alignment vertical="center"/>
    </xf>
    <xf numFmtId="49" fontId="4" fillId="4" borderId="3" xfId="0" applyNumberFormat="1" applyFont="1" applyFill="1" applyBorder="1" applyAlignment="1" applyProtection="1">
      <alignment vertical="center"/>
      <protection locked="0"/>
    </xf>
    <xf numFmtId="49" fontId="4" fillId="4" borderId="8" xfId="0" applyNumberFormat="1" applyFont="1" applyFill="1" applyBorder="1" applyAlignment="1">
      <alignment vertical="center" wrapText="1"/>
    </xf>
    <xf numFmtId="3" fontId="4" fillId="4" borderId="8" xfId="0" applyNumberFormat="1" applyFont="1" applyFill="1" applyBorder="1" applyAlignment="1">
      <alignment horizontal="center" vertical="center" wrapText="1"/>
    </xf>
    <xf numFmtId="4" fontId="4" fillId="5" borderId="8" xfId="0" applyNumberFormat="1" applyFont="1" applyFill="1" applyBorder="1" applyAlignment="1">
      <alignment vertical="center" wrapText="1"/>
    </xf>
    <xf numFmtId="1" fontId="1" fillId="0" borderId="9" xfId="0" applyNumberFormat="1" applyFont="1" applyBorder="1"/>
    <xf numFmtId="0" fontId="1" fillId="0" borderId="9" xfId="0" applyFont="1" applyBorder="1"/>
    <xf numFmtId="0" fontId="1" fillId="0" borderId="3" xfId="0" applyFont="1" applyBorder="1" applyAlignment="1">
      <alignment horizontal="center" vertical="center"/>
    </xf>
    <xf numFmtId="0" fontId="1" fillId="0" borderId="11" xfId="0" applyFont="1" applyBorder="1" applyAlignment="1">
      <alignment vertical="center" wrapText="1"/>
    </xf>
    <xf numFmtId="49" fontId="4" fillId="4" borderId="3" xfId="0" applyNumberFormat="1" applyFont="1" applyFill="1" applyBorder="1" applyAlignment="1">
      <alignment vertical="center" wrapText="1"/>
    </xf>
    <xf numFmtId="49" fontId="4" fillId="4" borderId="3" xfId="0" applyNumberFormat="1" applyFont="1" applyFill="1" applyBorder="1" applyAlignment="1">
      <alignment vertical="center"/>
    </xf>
    <xf numFmtId="0" fontId="1" fillId="0" borderId="12" xfId="0" applyFont="1" applyBorder="1" applyAlignment="1">
      <alignment horizontal="left" vertical="center"/>
    </xf>
    <xf numFmtId="0" fontId="4" fillId="0" borderId="3" xfId="0" applyFont="1" applyBorder="1" applyAlignment="1">
      <alignment vertical="center"/>
    </xf>
    <xf numFmtId="49" fontId="4" fillId="13" borderId="3" xfId="0" applyNumberFormat="1" applyFont="1" applyFill="1" applyBorder="1" applyAlignment="1">
      <alignment vertical="center"/>
    </xf>
    <xf numFmtId="49" fontId="4" fillId="4" borderId="13" xfId="0" applyNumberFormat="1" applyFont="1" applyFill="1" applyBorder="1" applyAlignment="1">
      <alignment vertical="center" wrapText="1"/>
    </xf>
    <xf numFmtId="49" fontId="4" fillId="4" borderId="6" xfId="0" applyNumberFormat="1" applyFont="1" applyFill="1" applyBorder="1" applyAlignment="1">
      <alignment vertical="center" wrapText="1"/>
    </xf>
    <xf numFmtId="4" fontId="4" fillId="14" borderId="1" xfId="0" applyNumberFormat="1" applyFont="1" applyFill="1" applyBorder="1" applyAlignment="1">
      <alignment vertical="center" wrapText="1"/>
    </xf>
    <xf numFmtId="4" fontId="4" fillId="14" borderId="2" xfId="0" applyNumberFormat="1" applyFont="1" applyFill="1" applyBorder="1" applyAlignment="1">
      <alignment vertical="center" wrapText="1"/>
    </xf>
    <xf numFmtId="4" fontId="4" fillId="14" borderId="8" xfId="0" applyNumberFormat="1" applyFont="1" applyFill="1" applyBorder="1" applyAlignment="1">
      <alignment vertical="center" wrapText="1"/>
    </xf>
    <xf numFmtId="2" fontId="1" fillId="14" borderId="3" xfId="0" applyNumberFormat="1" applyFont="1" applyFill="1" applyBorder="1" applyAlignment="1">
      <alignment horizontal="center" vertical="center"/>
    </xf>
    <xf numFmtId="2" fontId="1" fillId="15" borderId="3" xfId="0" applyNumberFormat="1" applyFont="1" applyFill="1" applyBorder="1" applyAlignment="1" applyProtection="1">
      <alignment horizontal="right" vertical="center"/>
      <protection locked="0"/>
    </xf>
    <xf numFmtId="2" fontId="1" fillId="15" borderId="3" xfId="0" applyNumberFormat="1" applyFont="1" applyFill="1" applyBorder="1" applyAlignment="1">
      <alignment horizontal="right"/>
    </xf>
    <xf numFmtId="2" fontId="1" fillId="15" borderId="3" xfId="0" applyNumberFormat="1" applyFont="1" applyFill="1" applyBorder="1"/>
    <xf numFmtId="2" fontId="4" fillId="15" borderId="3" xfId="0" applyNumberFormat="1" applyFont="1" applyFill="1" applyBorder="1" applyAlignment="1" applyProtection="1">
      <alignment horizontal="center" vertical="center"/>
      <protection locked="0"/>
    </xf>
    <xf numFmtId="2" fontId="1" fillId="15" borderId="3" xfId="0" applyNumberFormat="1" applyFont="1" applyFill="1" applyBorder="1" applyAlignment="1">
      <alignment horizontal="center"/>
    </xf>
    <xf numFmtId="10" fontId="4" fillId="12" borderId="4" xfId="0" applyNumberFormat="1" applyFont="1" applyFill="1" applyBorder="1" applyAlignment="1">
      <alignment horizontal="center" vertical="center" wrapText="1"/>
    </xf>
    <xf numFmtId="10" fontId="4" fillId="12" borderId="3" xfId="0" applyNumberFormat="1" applyFont="1" applyFill="1" applyBorder="1" applyAlignment="1">
      <alignment horizontal="center" vertical="center" wrapText="1"/>
    </xf>
    <xf numFmtId="10" fontId="4" fillId="12" borderId="9" xfId="0" applyNumberFormat="1" applyFont="1" applyFill="1" applyBorder="1" applyAlignment="1">
      <alignment horizontal="center" vertical="center" wrapText="1"/>
    </xf>
    <xf numFmtId="9" fontId="1" fillId="12" borderId="3" xfId="2" applyFont="1" applyFill="1" applyBorder="1" applyAlignment="1">
      <alignment horizontal="center" vertical="center"/>
    </xf>
    <xf numFmtId="1" fontId="4" fillId="0" borderId="3" xfId="0" applyNumberFormat="1" applyFont="1" applyBorder="1" applyAlignment="1" applyProtection="1">
      <alignment vertical="center"/>
      <protection locked="0"/>
    </xf>
    <xf numFmtId="1" fontId="1" fillId="0" borderId="3" xfId="0" applyNumberFormat="1" applyFont="1" applyBorder="1" applyAlignment="1">
      <alignment vertical="center"/>
    </xf>
    <xf numFmtId="3" fontId="4" fillId="4" borderId="3" xfId="0" applyNumberFormat="1" applyFont="1" applyFill="1" applyBorder="1" applyAlignment="1" applyProtection="1">
      <alignment horizontal="center" vertical="center"/>
      <protection locked="0"/>
    </xf>
    <xf numFmtId="0" fontId="1" fillId="16" borderId="3" xfId="0" applyFont="1" applyFill="1" applyBorder="1"/>
    <xf numFmtId="0" fontId="1" fillId="16" borderId="5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10" xfId="0" applyFont="1" applyFill="1" applyBorder="1" applyAlignment="1">
      <alignment horizontal="center" vertical="center"/>
    </xf>
    <xf numFmtId="1" fontId="6" fillId="0" borderId="0" xfId="0" applyNumberFormat="1" applyFont="1"/>
    <xf numFmtId="2" fontId="1" fillId="15" borderId="3" xfId="0" applyNumberFormat="1" applyFont="1" applyFill="1" applyBorder="1" applyAlignment="1">
      <alignment horizontal="center" vertical="center"/>
    </xf>
    <xf numFmtId="0" fontId="1" fillId="16" borderId="3" xfId="0" applyFont="1" applyFill="1" applyBorder="1" applyAlignment="1">
      <alignment vertical="center"/>
    </xf>
    <xf numFmtId="165" fontId="1" fillId="0" borderId="3" xfId="1" applyNumberFormat="1" applyFont="1" applyFill="1" applyBorder="1" applyAlignment="1">
      <alignment horizontal="right" vertical="center"/>
    </xf>
    <xf numFmtId="0" fontId="15" fillId="0" borderId="3" xfId="0" applyFont="1" applyBorder="1" applyAlignment="1">
      <alignment vertical="center"/>
    </xf>
    <xf numFmtId="49" fontId="4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/>
    </xf>
    <xf numFmtId="49" fontId="4" fillId="0" borderId="3" xfId="0" applyNumberFormat="1" applyFont="1" applyBorder="1" applyAlignment="1">
      <alignment vertical="center" wrapText="1"/>
    </xf>
    <xf numFmtId="49" fontId="4" fillId="0" borderId="13" xfId="0" applyNumberFormat="1" applyFont="1" applyBorder="1" applyAlignment="1">
      <alignment vertical="center" wrapText="1"/>
    </xf>
    <xf numFmtId="2" fontId="4" fillId="0" borderId="3" xfId="0" applyNumberFormat="1" applyFont="1" applyBorder="1" applyAlignment="1">
      <alignment horizontal="right" vertical="center" wrapText="1"/>
    </xf>
    <xf numFmtId="0" fontId="1" fillId="0" borderId="3" xfId="0" applyFont="1" applyBorder="1" applyAlignment="1">
      <alignment horizontal="center"/>
    </xf>
    <xf numFmtId="2" fontId="1" fillId="0" borderId="3" xfId="0" applyNumberFormat="1" applyFont="1" applyBorder="1"/>
    <xf numFmtId="2" fontId="4" fillId="0" borderId="3" xfId="0" applyNumberFormat="1" applyFont="1" applyBorder="1" applyAlignment="1">
      <alignment horizontal="center" vertical="center" wrapText="1"/>
    </xf>
    <xf numFmtId="2" fontId="1" fillId="0" borderId="3" xfId="0" applyNumberFormat="1" applyFont="1" applyBorder="1" applyAlignment="1">
      <alignment horizontal="center"/>
    </xf>
    <xf numFmtId="1" fontId="4" fillId="0" borderId="3" xfId="0" applyNumberFormat="1" applyFont="1" applyBorder="1"/>
    <xf numFmtId="2" fontId="1" fillId="0" borderId="3" xfId="0" applyNumberFormat="1" applyFont="1" applyBorder="1" applyAlignment="1">
      <alignment horizontal="right"/>
    </xf>
    <xf numFmtId="0" fontId="0" fillId="0" borderId="3" xfId="0" applyBorder="1" applyAlignment="1">
      <alignment horizontal="center"/>
    </xf>
    <xf numFmtId="49" fontId="13" fillId="4" borderId="14" xfId="0" applyNumberFormat="1" applyFont="1" applyFill="1" applyBorder="1" applyAlignment="1">
      <alignment horizontal="center" vertical="center" wrapText="1"/>
    </xf>
    <xf numFmtId="0" fontId="16" fillId="0" borderId="3" xfId="0" applyFont="1" applyBorder="1" applyAlignment="1">
      <alignment vertical="center"/>
    </xf>
    <xf numFmtId="4" fontId="3" fillId="2" borderId="3" xfId="0" applyNumberFormat="1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 wrapText="1"/>
    </xf>
    <xf numFmtId="164" fontId="5" fillId="6" borderId="3" xfId="0" quotePrefix="1" applyNumberFormat="1" applyFont="1" applyFill="1" applyBorder="1" applyAlignment="1">
      <alignment horizontal="center" vertical="center"/>
    </xf>
    <xf numFmtId="17" fontId="5" fillId="6" borderId="3" xfId="0" quotePrefix="1" applyNumberFormat="1" applyFont="1" applyFill="1" applyBorder="1" applyAlignment="1">
      <alignment horizontal="center" vertical="center"/>
    </xf>
    <xf numFmtId="0" fontId="5" fillId="6" borderId="3" xfId="0" quotePrefix="1" applyFont="1" applyFill="1" applyBorder="1" applyAlignment="1">
      <alignment horizontal="center" vertical="center"/>
    </xf>
    <xf numFmtId="4" fontId="3" fillId="2" borderId="3" xfId="0" applyNumberFormat="1" applyFont="1" applyFill="1" applyBorder="1" applyAlignment="1">
      <alignment vertical="center" wrapText="1"/>
    </xf>
    <xf numFmtId="4" fontId="3" fillId="3" borderId="3" xfId="0" applyNumberFormat="1" applyFont="1" applyFill="1" applyBorder="1" applyAlignment="1">
      <alignment horizontal="center" vertical="center" wrapText="1"/>
    </xf>
    <xf numFmtId="4" fontId="3" fillId="7" borderId="3" xfId="0" applyNumberFormat="1" applyFont="1" applyFill="1" applyBorder="1" applyAlignment="1">
      <alignment horizontal="center" vertical="center" wrapText="1"/>
    </xf>
    <xf numFmtId="4" fontId="3" fillId="8" borderId="3" xfId="0" applyNumberFormat="1" applyFont="1" applyFill="1" applyBorder="1" applyAlignment="1">
      <alignment horizontal="center" vertical="center" wrapText="1"/>
    </xf>
    <xf numFmtId="16" fontId="6" fillId="0" borderId="3" xfId="0" quotePrefix="1" applyNumberFormat="1" applyFont="1" applyBorder="1" applyAlignment="1">
      <alignment horizontal="center" vertical="center"/>
    </xf>
    <xf numFmtId="0" fontId="5" fillId="6" borderId="7" xfId="0" applyFont="1" applyFill="1" applyBorder="1" applyAlignment="1">
      <alignment horizontal="center" wrapText="1"/>
    </xf>
    <xf numFmtId="0" fontId="5" fillId="6" borderId="3" xfId="0" applyFont="1" applyFill="1" applyBorder="1" applyAlignment="1">
      <alignment horizontal="center" wrapText="1"/>
    </xf>
    <xf numFmtId="0" fontId="6" fillId="0" borderId="3" xfId="0" applyFont="1" applyBorder="1" applyAlignment="1">
      <alignment horizontal="center" vertical="center"/>
    </xf>
    <xf numFmtId="16" fontId="5" fillId="6" borderId="3" xfId="0" quotePrefix="1" applyNumberFormat="1" applyFont="1" applyFill="1" applyBorder="1" applyAlignment="1">
      <alignment horizontal="center" vertical="center"/>
    </xf>
    <xf numFmtId="0" fontId="6" fillId="0" borderId="3" xfId="0" quotePrefix="1" applyFont="1" applyBorder="1" applyAlignment="1">
      <alignment horizontal="center" vertical="center"/>
    </xf>
    <xf numFmtId="17" fontId="6" fillId="0" borderId="3" xfId="0" applyNumberFormat="1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43">
    <dxf>
      <fill>
        <patternFill>
          <bgColor rgb="FFA2FE96"/>
        </patternFill>
      </fill>
    </dxf>
    <dxf>
      <fill>
        <patternFill>
          <bgColor rgb="FFA2FE96"/>
        </patternFill>
      </fill>
    </dxf>
    <dxf>
      <fill>
        <patternFill>
          <bgColor rgb="FFA2FE96"/>
        </patternFill>
      </fill>
    </dxf>
    <dxf>
      <fill>
        <patternFill>
          <bgColor rgb="FFA2FE96"/>
        </patternFill>
      </fill>
    </dxf>
    <dxf>
      <fill>
        <patternFill>
          <bgColor theme="0" tint="-0.14978484450819421"/>
        </patternFill>
      </fill>
    </dxf>
    <dxf>
      <font>
        <color rgb="FFFF0000"/>
      </font>
      <fill>
        <patternFill>
          <bgColor theme="5" tint="0.59978026673177287"/>
        </patternFill>
      </fill>
    </dxf>
    <dxf>
      <font>
        <color theme="9" tint="-0.24976348155156103"/>
      </font>
      <fill>
        <patternFill>
          <bgColor theme="9" tint="0.79985961485641044"/>
        </patternFill>
      </fill>
    </dxf>
    <dxf>
      <font>
        <color theme="9" tint="-0.24976348155156103"/>
      </font>
      <fill>
        <patternFill>
          <bgColor theme="9" tint="0.79985961485641044"/>
        </patternFill>
      </fill>
    </dxf>
    <dxf>
      <font>
        <color rgb="FFFF0000"/>
      </font>
      <fill>
        <patternFill>
          <bgColor theme="5" tint="0.59978026673177287"/>
        </patternFill>
      </fill>
    </dxf>
    <dxf>
      <fill>
        <patternFill>
          <bgColor theme="0" tint="-0.14978484450819421"/>
        </patternFill>
      </fill>
    </dxf>
    <dxf>
      <font>
        <color theme="9" tint="-0.24976348155156103"/>
      </font>
      <fill>
        <patternFill>
          <bgColor theme="9" tint="0.79985961485641044"/>
        </patternFill>
      </fill>
    </dxf>
    <dxf>
      <font>
        <color rgb="FFFF0000"/>
      </font>
      <fill>
        <patternFill>
          <bgColor theme="5" tint="0.59978026673177287"/>
        </patternFill>
      </fill>
    </dxf>
    <dxf>
      <fill>
        <patternFill>
          <bgColor theme="0" tint="-0.14978484450819421"/>
        </patternFill>
      </fill>
    </dxf>
    <dxf>
      <font>
        <color theme="9" tint="-0.24976348155156103"/>
      </font>
      <fill>
        <patternFill>
          <bgColor theme="9" tint="0.79985961485641044"/>
        </patternFill>
      </fill>
    </dxf>
    <dxf>
      <fill>
        <patternFill>
          <bgColor theme="0" tint="-0.14978484450819421"/>
        </patternFill>
      </fill>
    </dxf>
    <dxf>
      <font>
        <color rgb="FFFF0000"/>
      </font>
      <fill>
        <patternFill>
          <bgColor theme="5" tint="0.5997802667317728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A2FE96"/>
        </patternFill>
      </fill>
    </dxf>
    <dxf>
      <fill>
        <patternFill>
          <bgColor theme="0" tint="-0.14978484450819421"/>
        </patternFill>
      </fill>
    </dxf>
    <dxf>
      <font>
        <color rgb="FFFF0000"/>
      </font>
      <fill>
        <patternFill>
          <bgColor theme="5" tint="0.59978026673177287"/>
        </patternFill>
      </fill>
    </dxf>
    <dxf>
      <font>
        <color theme="9" tint="-0.24976348155156103"/>
      </font>
      <fill>
        <patternFill>
          <bgColor theme="9" tint="0.79985961485641044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en%20Goh\Documents\2.%20My%20BIDS%20&amp;%20TENDERS\DOW%20Tender%202024-2025\Thailand%20KICK%20OFF\Dow%20Award%2016%20AUG%2024\Bid+Form-2024-2025G-TenderAwar-E-WayAlliance-0816241306.xlsx" TargetMode="External"/><Relationship Id="rId1" Type="http://schemas.openxmlformats.org/officeDocument/2006/relationships/externalLinkPath" Target="https://ewayalliance.sharepoint.com/Users/Ken%20Goh/Documents/2.%20My%20BIDS%20&amp;%20TENDERS/DOW%20Tender%202024-2025/Dow%20Award%2016%20AUG%2024/Bid+Form-2024-2025G-TenderAwar-E-WayAlliance-08162413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Feedback"/>
      <sheetName val="Trucking"/>
      <sheetName val="Validation"/>
      <sheetName val="Port or Ramp"/>
      <sheetName val="Equipment Prep"/>
      <sheetName val="Cleaning-Repo-Misc"/>
      <sheetName val="Dedicated Lanes"/>
      <sheetName val="Leased Tanks"/>
      <sheetName val="Consolidated Bids"/>
      <sheetName val="Category mapping"/>
      <sheetName val="Sheet1"/>
      <sheetName val="TOC"/>
      <sheetName val="validationInfo"/>
    </sheetNames>
    <sheetDataSet>
      <sheetData sheetId="0"/>
      <sheetData sheetId="1"/>
      <sheetData sheetId="2"/>
      <sheetData sheetId="3">
        <row r="20">
          <cell r="A20" t="str">
            <v>Movement Type</v>
          </cell>
          <cell r="B20" t="str">
            <v>Pre Carriage</v>
          </cell>
          <cell r="C20" t="str">
            <v>Sea Freight Port to Port including fuel</v>
          </cell>
          <cell r="D20" t="str">
            <v>On Carriage</v>
          </cell>
          <cell r="E20" t="str">
            <v>Equipment Prep at Origin</v>
          </cell>
          <cell r="F20" t="str">
            <v>Cleaning, repo, misc. cost at destination</v>
          </cell>
        </row>
        <row r="21">
          <cell r="A21" t="str">
            <v>Door to Port</v>
          </cell>
          <cell r="B21">
            <v>1</v>
          </cell>
          <cell r="C21">
            <v>1</v>
          </cell>
          <cell r="D21">
            <v>0</v>
          </cell>
          <cell r="E21">
            <v>1</v>
          </cell>
          <cell r="F21">
            <v>1</v>
          </cell>
        </row>
        <row r="22">
          <cell r="A22" t="str">
            <v>Door to Door</v>
          </cell>
          <cell r="B22">
            <v>1</v>
          </cell>
          <cell r="C22">
            <v>1</v>
          </cell>
          <cell r="D22">
            <v>1</v>
          </cell>
          <cell r="E22">
            <v>1</v>
          </cell>
          <cell r="F22">
            <v>1</v>
          </cell>
        </row>
        <row r="23">
          <cell r="A23" t="str">
            <v>Port to Port</v>
          </cell>
          <cell r="B23">
            <v>0</v>
          </cell>
          <cell r="C23">
            <v>1</v>
          </cell>
          <cell r="D23">
            <v>0</v>
          </cell>
          <cell r="E23">
            <v>1</v>
          </cell>
          <cell r="F23">
            <v>1</v>
          </cell>
        </row>
        <row r="24">
          <cell r="A24" t="str">
            <v>Port to Door</v>
          </cell>
          <cell r="B24">
            <v>0</v>
          </cell>
          <cell r="C24">
            <v>1</v>
          </cell>
          <cell r="D24">
            <v>1</v>
          </cell>
          <cell r="E24">
            <v>1</v>
          </cell>
          <cell r="F24">
            <v>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454D6-B789-434E-A8EC-D461F1E1C6DC}">
  <sheetPr filterMode="1"/>
  <dimension ref="A1:AJ49"/>
  <sheetViews>
    <sheetView tabSelected="1" topLeftCell="J1" zoomScale="69" zoomScaleNormal="69" workbookViewId="0">
      <selection activeCell="U53" sqref="U53"/>
    </sheetView>
  </sheetViews>
  <sheetFormatPr defaultColWidth="8.90625" defaultRowHeight="12.5" x14ac:dyDescent="0.25"/>
  <cols>
    <col min="1" max="1" width="12.6328125" style="5" customWidth="1"/>
    <col min="2" max="2" width="16.90625" style="5" bestFit="1" customWidth="1"/>
    <col min="3" max="3" width="15.54296875" style="5" bestFit="1" customWidth="1"/>
    <col min="4" max="4" width="14.36328125" style="5" bestFit="1" customWidth="1"/>
    <col min="5" max="5" width="19" style="5" bestFit="1" customWidth="1"/>
    <col min="6" max="6" width="14.453125" style="5" customWidth="1"/>
    <col min="7" max="7" width="18" style="5" bestFit="1" customWidth="1"/>
    <col min="8" max="8" width="18.36328125" style="5" bestFit="1" customWidth="1"/>
    <col min="9" max="9" width="16.54296875" style="5" bestFit="1" customWidth="1"/>
    <col min="10" max="10" width="31" style="5" bestFit="1" customWidth="1"/>
    <col min="11" max="11" width="15.08984375" style="5" bestFit="1" customWidth="1"/>
    <col min="12" max="12" width="17.6328125" style="5" bestFit="1" customWidth="1"/>
    <col min="13" max="13" width="12.6328125" style="5" customWidth="1"/>
    <col min="14" max="14" width="14.453125" style="5" bestFit="1" customWidth="1"/>
    <col min="15" max="15" width="14.6328125" style="5" customWidth="1"/>
    <col min="16" max="16" width="12.6328125" style="5" customWidth="1"/>
    <col min="17" max="17" width="8.90625" style="5"/>
    <col min="18" max="18" width="10.08984375" style="5" customWidth="1"/>
    <col min="19" max="19" width="11.6328125" style="5" customWidth="1"/>
    <col min="20" max="20" width="11.36328125" style="5" customWidth="1"/>
    <col min="21" max="21" width="11.08984375" style="5" customWidth="1"/>
    <col min="22" max="22" width="11" style="5" customWidth="1"/>
    <col min="23" max="23" width="8.90625" style="5"/>
    <col min="24" max="25" width="10.36328125" style="5" bestFit="1" customWidth="1"/>
    <col min="26" max="16384" width="8.90625" style="5"/>
  </cols>
  <sheetData>
    <row r="1" spans="1:36" ht="18" x14ac:dyDescent="0.4">
      <c r="A1" s="8" t="s">
        <v>124</v>
      </c>
      <c r="B1"/>
      <c r="C1"/>
      <c r="D1"/>
      <c r="E1"/>
    </row>
    <row r="2" spans="1:36" ht="14.5" x14ac:dyDescent="0.35">
      <c r="A2" s="9"/>
      <c r="B2"/>
      <c r="C2"/>
      <c r="D2"/>
      <c r="E2"/>
    </row>
    <row r="3" spans="1:36" ht="14.5" x14ac:dyDescent="0.35">
      <c r="A3" s="9" t="s">
        <v>122</v>
      </c>
      <c r="B3"/>
      <c r="C3"/>
      <c r="D3"/>
      <c r="E3"/>
    </row>
    <row r="4" spans="1:36" ht="14.5" x14ac:dyDescent="0.35">
      <c r="A4" s="9" t="s">
        <v>123</v>
      </c>
      <c r="B4"/>
      <c r="C4"/>
      <c r="D4"/>
      <c r="E4"/>
    </row>
    <row r="6" spans="1:36" x14ac:dyDescent="0.25">
      <c r="A6" s="107" t="s">
        <v>0</v>
      </c>
      <c r="B6" s="107" t="s">
        <v>1</v>
      </c>
      <c r="C6" s="107" t="s">
        <v>2</v>
      </c>
      <c r="D6" s="107" t="s">
        <v>3</v>
      </c>
      <c r="E6" s="107" t="s">
        <v>4</v>
      </c>
      <c r="F6" s="107" t="s">
        <v>5</v>
      </c>
      <c r="G6" s="107" t="s">
        <v>6</v>
      </c>
      <c r="H6" s="107" t="s">
        <v>7</v>
      </c>
      <c r="I6" s="107" t="s">
        <v>8</v>
      </c>
      <c r="J6" s="107" t="s">
        <v>9</v>
      </c>
      <c r="K6" s="107" t="s">
        <v>10</v>
      </c>
      <c r="L6" s="107" t="s">
        <v>11</v>
      </c>
      <c r="M6" s="107" t="s">
        <v>12</v>
      </c>
      <c r="N6" s="107" t="s">
        <v>13</v>
      </c>
      <c r="O6" s="107" t="s">
        <v>14</v>
      </c>
      <c r="P6" s="107" t="s">
        <v>15</v>
      </c>
      <c r="Q6" s="107" t="s">
        <v>16</v>
      </c>
      <c r="R6" s="107" t="s">
        <v>147</v>
      </c>
      <c r="S6" s="107" t="s">
        <v>18</v>
      </c>
      <c r="T6" s="107" t="s">
        <v>19</v>
      </c>
      <c r="U6" s="101" t="s">
        <v>20</v>
      </c>
      <c r="V6" s="108" t="s">
        <v>21</v>
      </c>
      <c r="W6" s="103" t="s">
        <v>114</v>
      </c>
      <c r="X6" s="104" t="s">
        <v>116</v>
      </c>
      <c r="Y6" s="104" t="s">
        <v>117</v>
      </c>
      <c r="Z6" s="104" t="s">
        <v>118</v>
      </c>
      <c r="AA6" s="104" t="s">
        <v>119</v>
      </c>
      <c r="AB6" s="104" t="s">
        <v>120</v>
      </c>
      <c r="AC6" s="105">
        <v>45992</v>
      </c>
      <c r="AD6" s="106" t="s">
        <v>121</v>
      </c>
      <c r="AE6" s="105">
        <v>46054</v>
      </c>
      <c r="AF6" s="105">
        <v>46082</v>
      </c>
      <c r="AG6" s="105">
        <v>46113</v>
      </c>
      <c r="AH6" s="105">
        <v>46143</v>
      </c>
      <c r="AI6" s="105">
        <v>46174</v>
      </c>
      <c r="AJ6" s="102" t="s">
        <v>115</v>
      </c>
    </row>
    <row r="7" spans="1:36" ht="35" hidden="1" customHeight="1" x14ac:dyDescent="0.25">
      <c r="A7" s="107"/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1"/>
      <c r="V7" s="108"/>
      <c r="W7" s="103"/>
      <c r="X7" s="104"/>
      <c r="Y7" s="104"/>
      <c r="Z7" s="104"/>
      <c r="AA7" s="104"/>
      <c r="AB7" s="104"/>
      <c r="AC7" s="106"/>
      <c r="AD7" s="106"/>
      <c r="AE7" s="106"/>
      <c r="AF7" s="106"/>
      <c r="AG7" s="106"/>
      <c r="AH7" s="106"/>
      <c r="AI7" s="106"/>
      <c r="AJ7" s="102"/>
    </row>
    <row r="8" spans="1:36" ht="25" hidden="1" x14ac:dyDescent="0.25">
      <c r="A8" s="10" t="s">
        <v>22</v>
      </c>
      <c r="B8" s="11" t="s">
        <v>23</v>
      </c>
      <c r="C8" s="11" t="s">
        <v>24</v>
      </c>
      <c r="D8" s="11" t="s">
        <v>25</v>
      </c>
      <c r="E8" s="11" t="s">
        <v>24</v>
      </c>
      <c r="F8" s="11" t="s">
        <v>23</v>
      </c>
      <c r="G8" s="11" t="s">
        <v>26</v>
      </c>
      <c r="H8" s="11" t="s">
        <v>27</v>
      </c>
      <c r="I8" s="11" t="s">
        <v>27</v>
      </c>
      <c r="J8" s="11" t="s">
        <v>28</v>
      </c>
      <c r="K8" s="11" t="s">
        <v>29</v>
      </c>
      <c r="L8" s="11" t="s">
        <v>30</v>
      </c>
      <c r="M8" s="11" t="s">
        <v>31</v>
      </c>
      <c r="N8" s="11" t="s">
        <v>25</v>
      </c>
      <c r="O8" s="12">
        <v>83</v>
      </c>
      <c r="P8" s="13">
        <v>390</v>
      </c>
      <c r="Q8" s="13"/>
      <c r="R8" s="13">
        <v>0</v>
      </c>
      <c r="S8" s="13">
        <v>450</v>
      </c>
      <c r="T8" s="62">
        <v>840</v>
      </c>
      <c r="U8" s="79" t="s">
        <v>36</v>
      </c>
      <c r="V8" s="71">
        <v>0.3</v>
      </c>
      <c r="W8" s="14">
        <f>SUM(O8)*V8</f>
        <v>24.9</v>
      </c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>
        <f>SUM(X8:AI8)</f>
        <v>0</v>
      </c>
    </row>
    <row r="9" spans="1:36" ht="25" hidden="1" x14ac:dyDescent="0.25">
      <c r="A9" s="1" t="s">
        <v>32</v>
      </c>
      <c r="B9" s="2" t="s">
        <v>23</v>
      </c>
      <c r="C9" s="2" t="s">
        <v>24</v>
      </c>
      <c r="D9" s="2" t="s">
        <v>25</v>
      </c>
      <c r="E9" s="2" t="s">
        <v>24</v>
      </c>
      <c r="F9" s="2" t="s">
        <v>23</v>
      </c>
      <c r="G9" s="2" t="s">
        <v>26</v>
      </c>
      <c r="H9" s="2" t="s">
        <v>33</v>
      </c>
      <c r="I9" s="2" t="s">
        <v>33</v>
      </c>
      <c r="J9" s="2" t="s">
        <v>34</v>
      </c>
      <c r="K9" s="2" t="s">
        <v>29</v>
      </c>
      <c r="L9" s="2" t="s">
        <v>30</v>
      </c>
      <c r="M9" s="2" t="s">
        <v>31</v>
      </c>
      <c r="N9" s="2" t="s">
        <v>25</v>
      </c>
      <c r="O9" s="3">
        <v>1</v>
      </c>
      <c r="P9" s="4">
        <v>640</v>
      </c>
      <c r="Q9" s="4"/>
      <c r="R9" s="4">
        <v>0</v>
      </c>
      <c r="S9" s="4">
        <v>600</v>
      </c>
      <c r="T9" s="63">
        <v>1240</v>
      </c>
      <c r="U9" s="80" t="s">
        <v>36</v>
      </c>
      <c r="V9" s="72">
        <v>1</v>
      </c>
      <c r="W9" s="6">
        <f t="shared" ref="W9:W38" si="0">SUM(O9)*V9</f>
        <v>1</v>
      </c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>
        <f t="shared" ref="AJ9:AJ38" si="1">SUM(X9:AI9)</f>
        <v>0</v>
      </c>
    </row>
    <row r="10" spans="1:36" ht="25" hidden="1" x14ac:dyDescent="0.25">
      <c r="A10" s="1" t="s">
        <v>35</v>
      </c>
      <c r="B10" s="2" t="s">
        <v>23</v>
      </c>
      <c r="C10" s="2" t="s">
        <v>24</v>
      </c>
      <c r="D10" s="2" t="s">
        <v>25</v>
      </c>
      <c r="E10" s="2" t="s">
        <v>24</v>
      </c>
      <c r="F10" s="2" t="s">
        <v>23</v>
      </c>
      <c r="G10" s="2" t="s">
        <v>26</v>
      </c>
      <c r="H10" s="2" t="s">
        <v>33</v>
      </c>
      <c r="I10" s="2" t="s">
        <v>33</v>
      </c>
      <c r="J10" s="2" t="s">
        <v>28</v>
      </c>
      <c r="K10" s="2" t="s">
        <v>29</v>
      </c>
      <c r="L10" s="2" t="s">
        <v>30</v>
      </c>
      <c r="M10" s="2" t="s">
        <v>31</v>
      </c>
      <c r="N10" s="2" t="s">
        <v>25</v>
      </c>
      <c r="O10" s="3">
        <v>116</v>
      </c>
      <c r="P10" s="4">
        <v>640</v>
      </c>
      <c r="Q10" s="4"/>
      <c r="R10" s="4">
        <v>0</v>
      </c>
      <c r="S10" s="4">
        <v>600</v>
      </c>
      <c r="T10" s="63">
        <v>1240</v>
      </c>
      <c r="U10" s="80" t="s">
        <v>36</v>
      </c>
      <c r="V10" s="72">
        <v>0.2</v>
      </c>
      <c r="W10" s="6">
        <f t="shared" si="0"/>
        <v>23.200000000000003</v>
      </c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>
        <f t="shared" si="1"/>
        <v>0</v>
      </c>
    </row>
    <row r="11" spans="1:36" ht="25" hidden="1" x14ac:dyDescent="0.25">
      <c r="A11" s="1" t="s">
        <v>37</v>
      </c>
      <c r="B11" s="2" t="s">
        <v>23</v>
      </c>
      <c r="C11" s="2" t="s">
        <v>24</v>
      </c>
      <c r="D11" s="2" t="s">
        <v>25</v>
      </c>
      <c r="E11" s="2" t="s">
        <v>24</v>
      </c>
      <c r="F11" s="2" t="s">
        <v>23</v>
      </c>
      <c r="G11" s="2" t="s">
        <v>38</v>
      </c>
      <c r="H11" s="2" t="s">
        <v>39</v>
      </c>
      <c r="I11" s="2" t="s">
        <v>39</v>
      </c>
      <c r="J11" s="2" t="s">
        <v>40</v>
      </c>
      <c r="K11" s="2" t="s">
        <v>29</v>
      </c>
      <c r="L11" s="2" t="s">
        <v>30</v>
      </c>
      <c r="M11" s="2" t="s">
        <v>31</v>
      </c>
      <c r="N11" s="2" t="s">
        <v>25</v>
      </c>
      <c r="O11" s="3">
        <v>2</v>
      </c>
      <c r="P11" s="4">
        <v>450</v>
      </c>
      <c r="Q11" s="4"/>
      <c r="R11" s="4">
        <v>0</v>
      </c>
      <c r="S11" s="4">
        <v>1050</v>
      </c>
      <c r="T11" s="63">
        <v>1500</v>
      </c>
      <c r="U11" s="80" t="s">
        <v>36</v>
      </c>
      <c r="V11" s="72">
        <v>1</v>
      </c>
      <c r="W11" s="6">
        <f t="shared" si="0"/>
        <v>2</v>
      </c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>
        <f t="shared" si="1"/>
        <v>0</v>
      </c>
    </row>
    <row r="12" spans="1:36" ht="25" hidden="1" x14ac:dyDescent="0.25">
      <c r="A12" s="1" t="s">
        <v>41</v>
      </c>
      <c r="B12" s="2" t="s">
        <v>23</v>
      </c>
      <c r="C12" s="2" t="s">
        <v>24</v>
      </c>
      <c r="D12" s="2" t="s">
        <v>25</v>
      </c>
      <c r="E12" s="2" t="s">
        <v>24</v>
      </c>
      <c r="F12" s="2" t="s">
        <v>23</v>
      </c>
      <c r="G12" s="2" t="s">
        <v>38</v>
      </c>
      <c r="H12" s="2" t="s">
        <v>42</v>
      </c>
      <c r="I12" s="2" t="s">
        <v>42</v>
      </c>
      <c r="J12" s="2" t="s">
        <v>43</v>
      </c>
      <c r="K12" s="2" t="s">
        <v>29</v>
      </c>
      <c r="L12" s="2" t="s">
        <v>30</v>
      </c>
      <c r="M12" s="2" t="s">
        <v>31</v>
      </c>
      <c r="N12" s="2" t="s">
        <v>25</v>
      </c>
      <c r="O12" s="3">
        <v>12</v>
      </c>
      <c r="P12" s="4">
        <v>265</v>
      </c>
      <c r="Q12" s="4"/>
      <c r="R12" s="4">
        <v>0</v>
      </c>
      <c r="S12" s="4">
        <v>1200</v>
      </c>
      <c r="T12" s="63">
        <v>1465</v>
      </c>
      <c r="U12" s="80" t="s">
        <v>36</v>
      </c>
      <c r="V12" s="72">
        <v>1</v>
      </c>
      <c r="W12" s="6">
        <f t="shared" si="0"/>
        <v>12</v>
      </c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>
        <f t="shared" si="1"/>
        <v>0</v>
      </c>
    </row>
    <row r="13" spans="1:36" ht="25" hidden="1" x14ac:dyDescent="0.25">
      <c r="A13" s="1" t="s">
        <v>44</v>
      </c>
      <c r="B13" s="2" t="s">
        <v>23</v>
      </c>
      <c r="C13" s="2" t="s">
        <v>24</v>
      </c>
      <c r="D13" s="2" t="s">
        <v>25</v>
      </c>
      <c r="E13" s="2" t="s">
        <v>24</v>
      </c>
      <c r="F13" s="2" t="s">
        <v>23</v>
      </c>
      <c r="G13" s="2" t="s">
        <v>38</v>
      </c>
      <c r="H13" s="2" t="s">
        <v>42</v>
      </c>
      <c r="I13" s="2" t="s">
        <v>42</v>
      </c>
      <c r="J13" s="2" t="s">
        <v>45</v>
      </c>
      <c r="K13" s="2" t="s">
        <v>29</v>
      </c>
      <c r="L13" s="2" t="s">
        <v>30</v>
      </c>
      <c r="M13" s="2" t="s">
        <v>31</v>
      </c>
      <c r="N13" s="2" t="s">
        <v>25</v>
      </c>
      <c r="O13" s="3">
        <v>152</v>
      </c>
      <c r="P13" s="4">
        <v>265</v>
      </c>
      <c r="Q13" s="4"/>
      <c r="R13" s="4">
        <v>0</v>
      </c>
      <c r="S13" s="4">
        <v>1200</v>
      </c>
      <c r="T13" s="63">
        <v>1500</v>
      </c>
      <c r="U13" s="80" t="s">
        <v>36</v>
      </c>
      <c r="V13" s="72">
        <v>0.28000000000000003</v>
      </c>
      <c r="W13" s="6">
        <f t="shared" si="0"/>
        <v>42.56</v>
      </c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>
        <f t="shared" si="1"/>
        <v>0</v>
      </c>
    </row>
    <row r="14" spans="1:36" ht="25" hidden="1" x14ac:dyDescent="0.25">
      <c r="A14" s="1" t="s">
        <v>46</v>
      </c>
      <c r="B14" s="2" t="s">
        <v>23</v>
      </c>
      <c r="C14" s="2" t="s">
        <v>24</v>
      </c>
      <c r="D14" s="2" t="s">
        <v>25</v>
      </c>
      <c r="E14" s="2" t="s">
        <v>24</v>
      </c>
      <c r="F14" s="2" t="s">
        <v>23</v>
      </c>
      <c r="G14" s="2" t="s">
        <v>47</v>
      </c>
      <c r="H14" s="2" t="s">
        <v>48</v>
      </c>
      <c r="I14" s="2" t="s">
        <v>48</v>
      </c>
      <c r="J14" s="2" t="s">
        <v>45</v>
      </c>
      <c r="K14" s="2" t="s">
        <v>29</v>
      </c>
      <c r="L14" s="2" t="s">
        <v>30</v>
      </c>
      <c r="M14" s="2" t="s">
        <v>31</v>
      </c>
      <c r="N14" s="2" t="s">
        <v>25</v>
      </c>
      <c r="O14" s="3">
        <v>12</v>
      </c>
      <c r="P14" s="4">
        <v>400</v>
      </c>
      <c r="Q14" s="4"/>
      <c r="R14" s="4">
        <v>0</v>
      </c>
      <c r="S14" s="4">
        <v>850</v>
      </c>
      <c r="T14" s="63">
        <v>1250</v>
      </c>
      <c r="U14" s="80" t="s">
        <v>36</v>
      </c>
      <c r="V14" s="72">
        <v>1</v>
      </c>
      <c r="W14" s="6">
        <f t="shared" si="0"/>
        <v>12</v>
      </c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>
        <f t="shared" si="1"/>
        <v>0</v>
      </c>
    </row>
    <row r="15" spans="1:36" ht="25" hidden="1" x14ac:dyDescent="0.25">
      <c r="A15" s="1" t="s">
        <v>49</v>
      </c>
      <c r="B15" s="2" t="s">
        <v>23</v>
      </c>
      <c r="C15" s="2" t="s">
        <v>24</v>
      </c>
      <c r="D15" s="2" t="s">
        <v>25</v>
      </c>
      <c r="E15" s="2" t="s">
        <v>24</v>
      </c>
      <c r="F15" s="2" t="s">
        <v>23</v>
      </c>
      <c r="G15" s="2" t="s">
        <v>50</v>
      </c>
      <c r="H15" s="2" t="s">
        <v>51</v>
      </c>
      <c r="I15" s="2" t="s">
        <v>51</v>
      </c>
      <c r="J15" s="2" t="s">
        <v>52</v>
      </c>
      <c r="K15" s="2" t="s">
        <v>29</v>
      </c>
      <c r="L15" s="2" t="s">
        <v>30</v>
      </c>
      <c r="M15" s="2" t="s">
        <v>31</v>
      </c>
      <c r="N15" s="2" t="s">
        <v>25</v>
      </c>
      <c r="O15" s="3">
        <v>48</v>
      </c>
      <c r="P15" s="4">
        <v>480</v>
      </c>
      <c r="Q15" s="4"/>
      <c r="R15" s="4">
        <v>0</v>
      </c>
      <c r="S15" s="4">
        <v>650</v>
      </c>
      <c r="T15" s="63">
        <v>1130</v>
      </c>
      <c r="U15" s="80" t="s">
        <v>36</v>
      </c>
      <c r="V15" s="72">
        <v>0.5</v>
      </c>
      <c r="W15" s="6">
        <f t="shared" si="0"/>
        <v>24</v>
      </c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>
        <f t="shared" si="1"/>
        <v>0</v>
      </c>
    </row>
    <row r="16" spans="1:36" ht="25" hidden="1" x14ac:dyDescent="0.25">
      <c r="A16" s="1" t="s">
        <v>53</v>
      </c>
      <c r="B16" s="2" t="s">
        <v>23</v>
      </c>
      <c r="C16" s="2" t="s">
        <v>24</v>
      </c>
      <c r="D16" s="2" t="s">
        <v>25</v>
      </c>
      <c r="E16" s="2" t="s">
        <v>24</v>
      </c>
      <c r="F16" s="2" t="s">
        <v>23</v>
      </c>
      <c r="G16" s="2" t="s">
        <v>54</v>
      </c>
      <c r="H16" s="2" t="s">
        <v>55</v>
      </c>
      <c r="I16" s="2" t="s">
        <v>55</v>
      </c>
      <c r="J16" s="2" t="s">
        <v>56</v>
      </c>
      <c r="K16" s="2" t="s">
        <v>29</v>
      </c>
      <c r="L16" s="2" t="s">
        <v>30</v>
      </c>
      <c r="M16" s="2" t="s">
        <v>31</v>
      </c>
      <c r="N16" s="2" t="s">
        <v>25</v>
      </c>
      <c r="O16" s="3">
        <v>8</v>
      </c>
      <c r="P16" s="4">
        <v>700</v>
      </c>
      <c r="Q16" s="4"/>
      <c r="R16" s="4">
        <v>0</v>
      </c>
      <c r="S16" s="4">
        <v>800</v>
      </c>
      <c r="T16" s="63">
        <v>1500</v>
      </c>
      <c r="U16" s="80" t="s">
        <v>36</v>
      </c>
      <c r="V16" s="72">
        <v>1</v>
      </c>
      <c r="W16" s="6">
        <f t="shared" si="0"/>
        <v>8</v>
      </c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>
        <f t="shared" si="1"/>
        <v>0</v>
      </c>
    </row>
    <row r="17" spans="1:36" ht="25" hidden="1" x14ac:dyDescent="0.25">
      <c r="A17" s="1" t="s">
        <v>57</v>
      </c>
      <c r="B17" s="2" t="s">
        <v>23</v>
      </c>
      <c r="C17" s="2" t="s">
        <v>24</v>
      </c>
      <c r="D17" s="2" t="s">
        <v>25</v>
      </c>
      <c r="E17" s="2" t="s">
        <v>24</v>
      </c>
      <c r="F17" s="2" t="s">
        <v>58</v>
      </c>
      <c r="G17" s="2" t="s">
        <v>59</v>
      </c>
      <c r="H17" s="2" t="s">
        <v>60</v>
      </c>
      <c r="I17" s="2" t="s">
        <v>60</v>
      </c>
      <c r="J17" s="2" t="s">
        <v>61</v>
      </c>
      <c r="K17" s="2" t="s">
        <v>29</v>
      </c>
      <c r="L17" s="2" t="s">
        <v>30</v>
      </c>
      <c r="M17" s="2" t="s">
        <v>31</v>
      </c>
      <c r="N17" s="2" t="s">
        <v>25</v>
      </c>
      <c r="O17" s="3">
        <v>12</v>
      </c>
      <c r="P17" s="4">
        <v>1550</v>
      </c>
      <c r="Q17" s="4"/>
      <c r="R17" s="4">
        <v>0</v>
      </c>
      <c r="S17" s="4">
        <v>825</v>
      </c>
      <c r="T17" s="63">
        <v>2375</v>
      </c>
      <c r="U17" s="80" t="s">
        <v>36</v>
      </c>
      <c r="V17" s="72">
        <v>1</v>
      </c>
      <c r="W17" s="6">
        <f t="shared" si="0"/>
        <v>12</v>
      </c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>
        <f t="shared" si="1"/>
        <v>0</v>
      </c>
    </row>
    <row r="18" spans="1:36" ht="25" hidden="1" x14ac:dyDescent="0.25">
      <c r="A18" s="1" t="s">
        <v>62</v>
      </c>
      <c r="B18" s="2" t="s">
        <v>23</v>
      </c>
      <c r="C18" s="2" t="s">
        <v>63</v>
      </c>
      <c r="D18" s="2" t="s">
        <v>25</v>
      </c>
      <c r="E18" s="2" t="s">
        <v>63</v>
      </c>
      <c r="F18" s="2" t="s">
        <v>23</v>
      </c>
      <c r="G18" s="2" t="s">
        <v>54</v>
      </c>
      <c r="H18" s="2" t="s">
        <v>64</v>
      </c>
      <c r="I18" s="2" t="s">
        <v>64</v>
      </c>
      <c r="J18" s="2" t="s">
        <v>56</v>
      </c>
      <c r="K18" s="2" t="s">
        <v>29</v>
      </c>
      <c r="L18" s="2" t="s">
        <v>30</v>
      </c>
      <c r="M18" s="2" t="s">
        <v>31</v>
      </c>
      <c r="N18" s="2" t="s">
        <v>25</v>
      </c>
      <c r="O18" s="3">
        <v>1</v>
      </c>
      <c r="P18" s="4">
        <v>700</v>
      </c>
      <c r="Q18" s="4"/>
      <c r="R18" s="4">
        <v>0</v>
      </c>
      <c r="S18" s="4">
        <v>900</v>
      </c>
      <c r="T18" s="63">
        <v>1600</v>
      </c>
      <c r="U18" s="80" t="s">
        <v>36</v>
      </c>
      <c r="V18" s="72">
        <v>1</v>
      </c>
      <c r="W18" s="6">
        <f t="shared" si="0"/>
        <v>1</v>
      </c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>
        <f t="shared" si="1"/>
        <v>0</v>
      </c>
    </row>
    <row r="19" spans="1:36" ht="25" x14ac:dyDescent="0.25">
      <c r="A19" s="1" t="s">
        <v>65</v>
      </c>
      <c r="B19" s="2" t="s">
        <v>23</v>
      </c>
      <c r="C19" s="2" t="s">
        <v>66</v>
      </c>
      <c r="D19" s="2" t="s">
        <v>67</v>
      </c>
      <c r="E19" s="2" t="s">
        <v>66</v>
      </c>
      <c r="F19" s="2" t="s">
        <v>23</v>
      </c>
      <c r="G19" s="2" t="s">
        <v>68</v>
      </c>
      <c r="H19" s="2" t="s">
        <v>69</v>
      </c>
      <c r="I19" s="2" t="s">
        <v>69</v>
      </c>
      <c r="J19" s="2" t="s">
        <v>70</v>
      </c>
      <c r="K19" s="2" t="s">
        <v>29</v>
      </c>
      <c r="L19" s="2" t="s">
        <v>30</v>
      </c>
      <c r="M19" s="2" t="s">
        <v>31</v>
      </c>
      <c r="N19" s="2" t="s">
        <v>67</v>
      </c>
      <c r="O19" s="3">
        <v>12</v>
      </c>
      <c r="P19" s="4">
        <v>1200</v>
      </c>
      <c r="Q19" s="4"/>
      <c r="R19" s="4">
        <v>0</v>
      </c>
      <c r="S19" s="4">
        <v>1770</v>
      </c>
      <c r="T19" s="63">
        <v>2970</v>
      </c>
      <c r="U19" s="80" t="s">
        <v>36</v>
      </c>
      <c r="V19" s="72">
        <v>0.3</v>
      </c>
      <c r="W19" s="6">
        <f t="shared" si="0"/>
        <v>3.5999999999999996</v>
      </c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>
        <f t="shared" si="1"/>
        <v>0</v>
      </c>
    </row>
    <row r="20" spans="1:36" ht="25" x14ac:dyDescent="0.25">
      <c r="A20" s="1" t="s">
        <v>71</v>
      </c>
      <c r="B20" s="2" t="s">
        <v>23</v>
      </c>
      <c r="C20" s="2" t="s">
        <v>66</v>
      </c>
      <c r="D20" s="2" t="s">
        <v>67</v>
      </c>
      <c r="E20" s="2" t="s">
        <v>66</v>
      </c>
      <c r="F20" s="2" t="s">
        <v>23</v>
      </c>
      <c r="G20" s="2" t="s">
        <v>68</v>
      </c>
      <c r="H20" s="2" t="s">
        <v>72</v>
      </c>
      <c r="I20" s="2" t="s">
        <v>72</v>
      </c>
      <c r="J20" s="2" t="s">
        <v>70</v>
      </c>
      <c r="K20" s="2" t="s">
        <v>29</v>
      </c>
      <c r="L20" s="2" t="s">
        <v>30</v>
      </c>
      <c r="M20" s="2" t="s">
        <v>31</v>
      </c>
      <c r="N20" s="2" t="s">
        <v>67</v>
      </c>
      <c r="O20" s="3">
        <v>19</v>
      </c>
      <c r="P20" s="4">
        <v>1200</v>
      </c>
      <c r="Q20" s="4"/>
      <c r="R20" s="4">
        <v>0</v>
      </c>
      <c r="S20" s="4">
        <v>1470</v>
      </c>
      <c r="T20" s="63">
        <v>2670</v>
      </c>
      <c r="U20" s="80" t="s">
        <v>36</v>
      </c>
      <c r="V20" s="72">
        <v>0.3</v>
      </c>
      <c r="W20" s="6">
        <f t="shared" si="0"/>
        <v>5.7</v>
      </c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>
        <f t="shared" si="1"/>
        <v>0</v>
      </c>
    </row>
    <row r="21" spans="1:36" ht="25" x14ac:dyDescent="0.25">
      <c r="A21" s="1" t="s">
        <v>73</v>
      </c>
      <c r="B21" s="2" t="s">
        <v>23</v>
      </c>
      <c r="C21" s="2" t="s">
        <v>66</v>
      </c>
      <c r="D21" s="2" t="s">
        <v>67</v>
      </c>
      <c r="E21" s="2" t="s">
        <v>66</v>
      </c>
      <c r="F21" s="2" t="s">
        <v>23</v>
      </c>
      <c r="G21" s="2" t="s">
        <v>68</v>
      </c>
      <c r="H21" s="2" t="s">
        <v>74</v>
      </c>
      <c r="I21" s="2" t="s">
        <v>74</v>
      </c>
      <c r="J21" s="2" t="s">
        <v>70</v>
      </c>
      <c r="K21" s="2" t="s">
        <v>29</v>
      </c>
      <c r="L21" s="2" t="s">
        <v>30</v>
      </c>
      <c r="M21" s="2" t="s">
        <v>31</v>
      </c>
      <c r="N21" s="2" t="s">
        <v>67</v>
      </c>
      <c r="O21" s="3">
        <v>37</v>
      </c>
      <c r="P21" s="4">
        <v>1200</v>
      </c>
      <c r="Q21" s="4"/>
      <c r="R21" s="4">
        <v>0</v>
      </c>
      <c r="S21" s="4">
        <v>1670</v>
      </c>
      <c r="T21" s="63">
        <v>2870</v>
      </c>
      <c r="U21" s="80" t="s">
        <v>36</v>
      </c>
      <c r="V21" s="72">
        <v>0.3</v>
      </c>
      <c r="W21" s="6">
        <f t="shared" si="0"/>
        <v>11.1</v>
      </c>
      <c r="X21" s="7"/>
      <c r="Y21" s="7">
        <v>3</v>
      </c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>
        <f t="shared" si="1"/>
        <v>3</v>
      </c>
    </row>
    <row r="22" spans="1:36" ht="27" customHeight="1" x14ac:dyDescent="0.25">
      <c r="A22" s="1" t="s">
        <v>75</v>
      </c>
      <c r="B22" s="2" t="s">
        <v>23</v>
      </c>
      <c r="C22" s="2" t="s">
        <v>66</v>
      </c>
      <c r="D22" s="2" t="s">
        <v>67</v>
      </c>
      <c r="E22" s="2" t="s">
        <v>66</v>
      </c>
      <c r="F22" s="2" t="s">
        <v>23</v>
      </c>
      <c r="G22" s="2" t="s">
        <v>68</v>
      </c>
      <c r="H22" s="2" t="s">
        <v>76</v>
      </c>
      <c r="I22" s="2" t="s">
        <v>76</v>
      </c>
      <c r="J22" s="2" t="s">
        <v>70</v>
      </c>
      <c r="K22" s="2" t="s">
        <v>29</v>
      </c>
      <c r="L22" s="2" t="s">
        <v>30</v>
      </c>
      <c r="M22" s="2" t="s">
        <v>31</v>
      </c>
      <c r="N22" s="2" t="s">
        <v>67</v>
      </c>
      <c r="O22" s="3">
        <v>116</v>
      </c>
      <c r="P22" s="4">
        <v>1200</v>
      </c>
      <c r="Q22" s="4"/>
      <c r="R22" s="4">
        <v>0</v>
      </c>
      <c r="S22" s="4">
        <v>1570</v>
      </c>
      <c r="T22" s="63">
        <v>2770</v>
      </c>
      <c r="U22" s="80" t="s">
        <v>36</v>
      </c>
      <c r="V22" s="72">
        <v>0.3</v>
      </c>
      <c r="W22" s="6">
        <f t="shared" si="0"/>
        <v>34.799999999999997</v>
      </c>
      <c r="X22" s="7">
        <v>3</v>
      </c>
      <c r="Y22" s="7">
        <v>6</v>
      </c>
      <c r="Z22" s="7"/>
      <c r="AA22" s="7"/>
      <c r="AB22" s="7"/>
      <c r="AC22" s="7">
        <v>4</v>
      </c>
      <c r="AD22" s="7"/>
      <c r="AE22" s="7"/>
      <c r="AF22" s="7"/>
      <c r="AG22" s="7"/>
      <c r="AH22" s="7"/>
      <c r="AI22" s="7"/>
      <c r="AJ22" s="7">
        <f t="shared" si="1"/>
        <v>13</v>
      </c>
    </row>
    <row r="23" spans="1:36" ht="25" x14ac:dyDescent="0.25">
      <c r="A23" s="1" t="s">
        <v>77</v>
      </c>
      <c r="B23" s="2" t="s">
        <v>23</v>
      </c>
      <c r="C23" s="2" t="s">
        <v>66</v>
      </c>
      <c r="D23" s="2" t="s">
        <v>67</v>
      </c>
      <c r="E23" s="2" t="s">
        <v>66</v>
      </c>
      <c r="F23" s="2" t="s">
        <v>23</v>
      </c>
      <c r="G23" s="2" t="s">
        <v>78</v>
      </c>
      <c r="H23" s="2" t="s">
        <v>79</v>
      </c>
      <c r="I23" s="2" t="s">
        <v>79</v>
      </c>
      <c r="J23" s="2" t="s">
        <v>70</v>
      </c>
      <c r="K23" s="2" t="s">
        <v>29</v>
      </c>
      <c r="L23" s="2" t="s">
        <v>30</v>
      </c>
      <c r="M23" s="2" t="s">
        <v>31</v>
      </c>
      <c r="N23" s="2" t="s">
        <v>67</v>
      </c>
      <c r="O23" s="3">
        <v>300</v>
      </c>
      <c r="P23" s="4">
        <v>250</v>
      </c>
      <c r="Q23" s="4"/>
      <c r="R23" s="4">
        <v>0</v>
      </c>
      <c r="S23" s="4">
        <v>550</v>
      </c>
      <c r="T23" s="63">
        <v>800</v>
      </c>
      <c r="U23" s="80" t="s">
        <v>36</v>
      </c>
      <c r="V23" s="72">
        <v>0.2</v>
      </c>
      <c r="W23" s="6">
        <f t="shared" si="0"/>
        <v>60</v>
      </c>
      <c r="X23" s="7"/>
      <c r="Y23" s="7"/>
      <c r="Z23" s="7">
        <v>5</v>
      </c>
      <c r="AA23" s="7"/>
      <c r="AB23" s="7"/>
      <c r="AC23" s="7"/>
      <c r="AD23" s="7"/>
      <c r="AE23" s="7"/>
      <c r="AF23" s="7"/>
      <c r="AG23" s="7">
        <v>8</v>
      </c>
      <c r="AH23" s="7">
        <v>20</v>
      </c>
      <c r="AI23" s="7">
        <v>12</v>
      </c>
      <c r="AJ23" s="7">
        <f t="shared" si="1"/>
        <v>45</v>
      </c>
    </row>
    <row r="24" spans="1:36" ht="25" x14ac:dyDescent="0.25">
      <c r="A24" s="1" t="s">
        <v>80</v>
      </c>
      <c r="B24" s="2" t="s">
        <v>23</v>
      </c>
      <c r="C24" s="2" t="s">
        <v>66</v>
      </c>
      <c r="D24" s="2" t="s">
        <v>67</v>
      </c>
      <c r="E24" s="2" t="s">
        <v>66</v>
      </c>
      <c r="F24" s="2" t="s">
        <v>23</v>
      </c>
      <c r="G24" s="2" t="s">
        <v>81</v>
      </c>
      <c r="H24" s="2" t="s">
        <v>82</v>
      </c>
      <c r="I24" s="2" t="s">
        <v>82</v>
      </c>
      <c r="J24" s="2" t="s">
        <v>83</v>
      </c>
      <c r="K24" s="2" t="s">
        <v>29</v>
      </c>
      <c r="L24" s="2" t="s">
        <v>30</v>
      </c>
      <c r="M24" s="2" t="s">
        <v>31</v>
      </c>
      <c r="N24" s="2" t="s">
        <v>67</v>
      </c>
      <c r="O24" s="3">
        <v>24</v>
      </c>
      <c r="P24" s="4">
        <v>360</v>
      </c>
      <c r="Q24" s="4"/>
      <c r="R24" s="4">
        <v>0</v>
      </c>
      <c r="S24" s="4">
        <v>770</v>
      </c>
      <c r="T24" s="63">
        <v>1130</v>
      </c>
      <c r="U24" s="80" t="s">
        <v>36</v>
      </c>
      <c r="V24" s="72">
        <v>0.5</v>
      </c>
      <c r="W24" s="6">
        <f t="shared" si="0"/>
        <v>12</v>
      </c>
      <c r="X24" s="7">
        <v>1</v>
      </c>
      <c r="Y24" s="7">
        <v>1</v>
      </c>
      <c r="Z24" s="7">
        <v>4</v>
      </c>
      <c r="AA24" s="7">
        <v>5</v>
      </c>
      <c r="AB24" s="7">
        <v>8</v>
      </c>
      <c r="AC24" s="7">
        <v>4</v>
      </c>
      <c r="AD24" s="7">
        <v>5</v>
      </c>
      <c r="AE24" s="7">
        <v>4</v>
      </c>
      <c r="AF24" s="7"/>
      <c r="AG24" s="7">
        <v>5</v>
      </c>
      <c r="AH24" s="7">
        <v>6</v>
      </c>
      <c r="AI24" s="7">
        <v>8</v>
      </c>
      <c r="AJ24" s="7">
        <f t="shared" si="1"/>
        <v>51</v>
      </c>
    </row>
    <row r="25" spans="1:36" ht="25" x14ac:dyDescent="0.25">
      <c r="A25" s="1" t="s">
        <v>84</v>
      </c>
      <c r="B25" s="2" t="s">
        <v>23</v>
      </c>
      <c r="C25" s="2" t="s">
        <v>66</v>
      </c>
      <c r="D25" s="2" t="s">
        <v>67</v>
      </c>
      <c r="E25" s="2" t="s">
        <v>66</v>
      </c>
      <c r="F25" s="2" t="s">
        <v>23</v>
      </c>
      <c r="G25" s="2" t="s">
        <v>85</v>
      </c>
      <c r="H25" s="2" t="s">
        <v>86</v>
      </c>
      <c r="I25" s="2" t="s">
        <v>86</v>
      </c>
      <c r="J25" s="2" t="s">
        <v>70</v>
      </c>
      <c r="K25" s="2" t="s">
        <v>29</v>
      </c>
      <c r="L25" s="2" t="s">
        <v>30</v>
      </c>
      <c r="M25" s="2" t="s">
        <v>31</v>
      </c>
      <c r="N25" s="2" t="s">
        <v>67</v>
      </c>
      <c r="O25" s="3">
        <v>69</v>
      </c>
      <c r="P25" s="4">
        <v>1350</v>
      </c>
      <c r="Q25" s="4"/>
      <c r="R25" s="4">
        <v>0</v>
      </c>
      <c r="S25" s="4">
        <v>1470</v>
      </c>
      <c r="T25" s="63">
        <v>2820</v>
      </c>
      <c r="U25" s="80" t="s">
        <v>36</v>
      </c>
      <c r="V25" s="72">
        <v>1</v>
      </c>
      <c r="W25" s="6">
        <f t="shared" si="0"/>
        <v>69</v>
      </c>
      <c r="X25" s="7">
        <v>2</v>
      </c>
      <c r="Y25" s="7">
        <v>6</v>
      </c>
      <c r="Z25" s="7">
        <v>10</v>
      </c>
      <c r="AA25" s="5">
        <v>8</v>
      </c>
      <c r="AB25" s="7">
        <v>2</v>
      </c>
      <c r="AC25" s="7">
        <v>2</v>
      </c>
      <c r="AD25" s="7">
        <v>8</v>
      </c>
      <c r="AE25" s="7">
        <v>2</v>
      </c>
      <c r="AF25" s="7">
        <v>10</v>
      </c>
      <c r="AG25" s="7">
        <v>4</v>
      </c>
      <c r="AH25" s="7"/>
      <c r="AI25" s="7">
        <v>10</v>
      </c>
      <c r="AJ25" s="7">
        <f t="shared" si="1"/>
        <v>64</v>
      </c>
    </row>
    <row r="26" spans="1:36" ht="25" x14ac:dyDescent="0.25">
      <c r="A26" s="1" t="s">
        <v>87</v>
      </c>
      <c r="B26" s="2" t="s">
        <v>23</v>
      </c>
      <c r="C26" s="2" t="s">
        <v>66</v>
      </c>
      <c r="D26" s="2" t="s">
        <v>67</v>
      </c>
      <c r="E26" s="2" t="s">
        <v>66</v>
      </c>
      <c r="F26" s="2" t="s">
        <v>23</v>
      </c>
      <c r="G26" s="2" t="s">
        <v>85</v>
      </c>
      <c r="H26" s="2" t="s">
        <v>88</v>
      </c>
      <c r="I26" s="2" t="s">
        <v>88</v>
      </c>
      <c r="J26" s="2" t="s">
        <v>89</v>
      </c>
      <c r="K26" s="2" t="s">
        <v>29</v>
      </c>
      <c r="L26" s="2" t="s">
        <v>30</v>
      </c>
      <c r="M26" s="2" t="s">
        <v>31</v>
      </c>
      <c r="N26" s="2" t="s">
        <v>67</v>
      </c>
      <c r="O26" s="3">
        <v>14</v>
      </c>
      <c r="P26" s="4">
        <v>1350</v>
      </c>
      <c r="Q26" s="4"/>
      <c r="R26" s="4">
        <v>0</v>
      </c>
      <c r="S26" s="4">
        <v>2370</v>
      </c>
      <c r="T26" s="63">
        <v>3720</v>
      </c>
      <c r="U26" s="80" t="s">
        <v>36</v>
      </c>
      <c r="V26" s="72">
        <v>1</v>
      </c>
      <c r="W26" s="6">
        <f t="shared" si="0"/>
        <v>14</v>
      </c>
      <c r="X26" s="7">
        <v>1</v>
      </c>
      <c r="Y26" s="7"/>
      <c r="Z26" s="7">
        <v>1</v>
      </c>
      <c r="AA26" s="7"/>
      <c r="AB26" s="7"/>
      <c r="AC26" s="7">
        <v>1</v>
      </c>
      <c r="AD26" s="7">
        <v>2</v>
      </c>
      <c r="AE26" s="7">
        <v>1</v>
      </c>
      <c r="AF26" s="7">
        <v>1</v>
      </c>
      <c r="AG26" s="7">
        <v>2</v>
      </c>
      <c r="AH26" s="7">
        <v>2</v>
      </c>
      <c r="AI26" s="7">
        <v>1</v>
      </c>
      <c r="AJ26" s="7">
        <f t="shared" si="1"/>
        <v>12</v>
      </c>
    </row>
    <row r="27" spans="1:36" ht="25" x14ac:dyDescent="0.25">
      <c r="A27" s="1" t="s">
        <v>90</v>
      </c>
      <c r="B27" s="2" t="s">
        <v>23</v>
      </c>
      <c r="C27" s="2" t="s">
        <v>66</v>
      </c>
      <c r="D27" s="2" t="s">
        <v>67</v>
      </c>
      <c r="E27" s="2" t="s">
        <v>66</v>
      </c>
      <c r="F27" s="2" t="s">
        <v>23</v>
      </c>
      <c r="G27" s="2" t="s">
        <v>54</v>
      </c>
      <c r="H27" s="2" t="s">
        <v>55</v>
      </c>
      <c r="I27" s="2" t="s">
        <v>55</v>
      </c>
      <c r="J27" s="2" t="s">
        <v>83</v>
      </c>
      <c r="K27" s="2" t="s">
        <v>29</v>
      </c>
      <c r="L27" s="2" t="s">
        <v>30</v>
      </c>
      <c r="M27" s="2" t="s">
        <v>31</v>
      </c>
      <c r="N27" s="2" t="s">
        <v>67</v>
      </c>
      <c r="O27" s="3">
        <v>12</v>
      </c>
      <c r="P27" s="4">
        <v>190</v>
      </c>
      <c r="Q27" s="4"/>
      <c r="R27" s="4">
        <v>0</v>
      </c>
      <c r="S27" s="4">
        <v>820</v>
      </c>
      <c r="T27" s="63">
        <v>1010</v>
      </c>
      <c r="U27" s="80" t="s">
        <v>36</v>
      </c>
      <c r="V27" s="72">
        <v>1</v>
      </c>
      <c r="W27" s="6">
        <f t="shared" si="0"/>
        <v>12</v>
      </c>
      <c r="X27" s="7">
        <v>4</v>
      </c>
      <c r="Y27" s="7">
        <v>2</v>
      </c>
      <c r="Z27" s="7">
        <v>3</v>
      </c>
      <c r="AA27" s="7"/>
      <c r="AB27" s="7"/>
      <c r="AC27" s="7">
        <v>7</v>
      </c>
      <c r="AD27" s="7">
        <v>10</v>
      </c>
      <c r="AE27" s="7"/>
      <c r="AF27" s="7"/>
      <c r="AG27" s="7">
        <v>7</v>
      </c>
      <c r="AH27" s="7">
        <v>11</v>
      </c>
      <c r="AI27" s="7">
        <v>9</v>
      </c>
      <c r="AJ27" s="7">
        <f t="shared" si="1"/>
        <v>53</v>
      </c>
    </row>
    <row r="28" spans="1:36" ht="25" x14ac:dyDescent="0.25">
      <c r="A28" s="1" t="s">
        <v>91</v>
      </c>
      <c r="B28" s="2" t="s">
        <v>23</v>
      </c>
      <c r="C28" s="2" t="s">
        <v>66</v>
      </c>
      <c r="D28" s="2" t="s">
        <v>67</v>
      </c>
      <c r="E28" s="2" t="s">
        <v>66</v>
      </c>
      <c r="F28" s="2" t="s">
        <v>23</v>
      </c>
      <c r="G28" s="2" t="s">
        <v>54</v>
      </c>
      <c r="H28" s="2" t="s">
        <v>55</v>
      </c>
      <c r="I28" s="2" t="s">
        <v>55</v>
      </c>
      <c r="J28" s="2" t="s">
        <v>70</v>
      </c>
      <c r="K28" s="2" t="s">
        <v>29</v>
      </c>
      <c r="L28" s="2" t="s">
        <v>30</v>
      </c>
      <c r="M28" s="2" t="s">
        <v>31</v>
      </c>
      <c r="N28" s="2" t="s">
        <v>67</v>
      </c>
      <c r="O28" s="3">
        <v>41</v>
      </c>
      <c r="P28" s="4">
        <v>190</v>
      </c>
      <c r="Q28" s="4"/>
      <c r="R28" s="4">
        <v>0</v>
      </c>
      <c r="S28" s="4">
        <v>820</v>
      </c>
      <c r="T28" s="63">
        <v>1010</v>
      </c>
      <c r="U28" s="80" t="s">
        <v>36</v>
      </c>
      <c r="V28" s="72">
        <v>0.2</v>
      </c>
      <c r="W28" s="6">
        <f t="shared" si="0"/>
        <v>8.2000000000000011</v>
      </c>
      <c r="X28" s="7"/>
      <c r="Y28" s="7"/>
      <c r="Z28" s="7"/>
      <c r="AA28" s="7"/>
      <c r="AB28" s="7">
        <v>8</v>
      </c>
      <c r="AC28" s="7"/>
      <c r="AD28" s="7"/>
      <c r="AE28" s="7">
        <v>6</v>
      </c>
      <c r="AF28" s="7">
        <v>7</v>
      </c>
      <c r="AG28" s="7"/>
      <c r="AH28" s="7"/>
      <c r="AI28" s="7"/>
      <c r="AJ28" s="7">
        <f t="shared" si="1"/>
        <v>21</v>
      </c>
    </row>
    <row r="29" spans="1:36" ht="25" x14ac:dyDescent="0.25">
      <c r="A29" s="1" t="s">
        <v>92</v>
      </c>
      <c r="B29" s="2" t="s">
        <v>23</v>
      </c>
      <c r="C29" s="2" t="s">
        <v>66</v>
      </c>
      <c r="D29" s="2" t="s">
        <v>67</v>
      </c>
      <c r="E29" s="2" t="s">
        <v>66</v>
      </c>
      <c r="F29" s="2" t="s">
        <v>58</v>
      </c>
      <c r="G29" s="2" t="s">
        <v>93</v>
      </c>
      <c r="H29" s="2" t="s">
        <v>94</v>
      </c>
      <c r="I29" s="2" t="s">
        <v>94</v>
      </c>
      <c r="J29" s="2" t="s">
        <v>95</v>
      </c>
      <c r="K29" s="2" t="s">
        <v>29</v>
      </c>
      <c r="L29" s="2" t="s">
        <v>30</v>
      </c>
      <c r="M29" s="2" t="s">
        <v>31</v>
      </c>
      <c r="N29" s="2" t="s">
        <v>67</v>
      </c>
      <c r="O29" s="3">
        <v>116</v>
      </c>
      <c r="P29" s="4">
        <v>1075</v>
      </c>
      <c r="Q29" s="4"/>
      <c r="R29" s="4">
        <v>0</v>
      </c>
      <c r="S29" s="4">
        <v>775</v>
      </c>
      <c r="T29" s="63">
        <v>1850</v>
      </c>
      <c r="U29" s="80" t="s">
        <v>36</v>
      </c>
      <c r="V29" s="72">
        <v>0.5</v>
      </c>
      <c r="W29" s="6">
        <f t="shared" si="0"/>
        <v>58</v>
      </c>
      <c r="X29" s="7">
        <v>10</v>
      </c>
      <c r="Y29" s="7">
        <v>10</v>
      </c>
      <c r="Z29" s="7">
        <v>9</v>
      </c>
      <c r="AA29" s="7">
        <v>11</v>
      </c>
      <c r="AB29" s="7">
        <v>4</v>
      </c>
      <c r="AC29" s="7">
        <v>11</v>
      </c>
      <c r="AD29" s="7">
        <v>5</v>
      </c>
      <c r="AE29" s="7">
        <v>21</v>
      </c>
      <c r="AF29" s="7">
        <v>5</v>
      </c>
      <c r="AG29" s="7">
        <v>25</v>
      </c>
      <c r="AH29" s="7">
        <v>30</v>
      </c>
      <c r="AI29" s="7">
        <v>15</v>
      </c>
      <c r="AJ29" s="7">
        <f t="shared" si="1"/>
        <v>156</v>
      </c>
    </row>
    <row r="30" spans="1:36" ht="25" x14ac:dyDescent="0.25">
      <c r="A30" s="1" t="s">
        <v>96</v>
      </c>
      <c r="B30" s="2" t="s">
        <v>23</v>
      </c>
      <c r="C30" s="2" t="s">
        <v>66</v>
      </c>
      <c r="D30" s="2" t="s">
        <v>67</v>
      </c>
      <c r="E30" s="2" t="s">
        <v>66</v>
      </c>
      <c r="F30" s="2" t="s">
        <v>58</v>
      </c>
      <c r="G30" s="2" t="s">
        <v>93</v>
      </c>
      <c r="H30" s="2" t="s">
        <v>94</v>
      </c>
      <c r="I30" s="2" t="s">
        <v>94</v>
      </c>
      <c r="J30" s="2" t="s">
        <v>97</v>
      </c>
      <c r="K30" s="2" t="s">
        <v>29</v>
      </c>
      <c r="L30" s="2" t="s">
        <v>30</v>
      </c>
      <c r="M30" s="2" t="s">
        <v>31</v>
      </c>
      <c r="N30" s="2" t="s">
        <v>67</v>
      </c>
      <c r="O30" s="3">
        <v>287</v>
      </c>
      <c r="P30" s="4">
        <v>1075</v>
      </c>
      <c r="Q30" s="4"/>
      <c r="R30" s="4">
        <v>0</v>
      </c>
      <c r="S30" s="4">
        <v>775</v>
      </c>
      <c r="T30" s="63">
        <v>1850</v>
      </c>
      <c r="U30" s="80" t="s">
        <v>36</v>
      </c>
      <c r="V30" s="72">
        <v>0.3</v>
      </c>
      <c r="W30" s="6">
        <f t="shared" si="0"/>
        <v>86.1</v>
      </c>
      <c r="X30" s="7">
        <v>7</v>
      </c>
      <c r="Y30" s="7">
        <v>26</v>
      </c>
      <c r="Z30" s="7">
        <v>6</v>
      </c>
      <c r="AA30" s="7">
        <v>4</v>
      </c>
      <c r="AB30" s="7">
        <v>14</v>
      </c>
      <c r="AC30" s="7">
        <v>8</v>
      </c>
      <c r="AD30" s="7">
        <v>18</v>
      </c>
      <c r="AE30" s="7">
        <v>11</v>
      </c>
      <c r="AF30" s="7">
        <v>9</v>
      </c>
      <c r="AG30" s="7">
        <v>45</v>
      </c>
      <c r="AH30" s="7">
        <v>16</v>
      </c>
      <c r="AI30" s="7">
        <v>7</v>
      </c>
      <c r="AJ30" s="7">
        <f t="shared" si="1"/>
        <v>171</v>
      </c>
    </row>
    <row r="31" spans="1:36" ht="25" x14ac:dyDescent="0.25">
      <c r="A31" s="1" t="s">
        <v>98</v>
      </c>
      <c r="B31" s="2" t="s">
        <v>23</v>
      </c>
      <c r="C31" s="2" t="s">
        <v>66</v>
      </c>
      <c r="D31" s="2" t="s">
        <v>67</v>
      </c>
      <c r="E31" s="2" t="s">
        <v>66</v>
      </c>
      <c r="F31" s="2" t="s">
        <v>58</v>
      </c>
      <c r="G31" s="2" t="s">
        <v>93</v>
      </c>
      <c r="H31" s="2" t="s">
        <v>94</v>
      </c>
      <c r="I31" s="2" t="s">
        <v>94</v>
      </c>
      <c r="J31" s="2" t="s">
        <v>70</v>
      </c>
      <c r="K31" s="2" t="s">
        <v>29</v>
      </c>
      <c r="L31" s="2" t="s">
        <v>30</v>
      </c>
      <c r="M31" s="2" t="s">
        <v>31</v>
      </c>
      <c r="N31" s="2" t="s">
        <v>67</v>
      </c>
      <c r="O31" s="3">
        <v>125</v>
      </c>
      <c r="P31" s="4">
        <v>1075</v>
      </c>
      <c r="Q31" s="4"/>
      <c r="R31" s="4">
        <v>0</v>
      </c>
      <c r="S31" s="4">
        <v>775</v>
      </c>
      <c r="T31" s="63">
        <v>1850</v>
      </c>
      <c r="U31" s="80" t="s">
        <v>36</v>
      </c>
      <c r="V31" s="72">
        <v>0.5</v>
      </c>
      <c r="W31" s="6">
        <f t="shared" si="0"/>
        <v>62.5</v>
      </c>
      <c r="X31" s="7"/>
      <c r="Y31" s="7"/>
      <c r="Z31" s="7"/>
      <c r="AA31" s="7"/>
      <c r="AB31" s="7">
        <v>12</v>
      </c>
      <c r="AC31" s="7"/>
      <c r="AD31" s="7">
        <v>12</v>
      </c>
      <c r="AE31" s="7"/>
      <c r="AF31" s="7">
        <v>10</v>
      </c>
      <c r="AG31" s="7"/>
      <c r="AH31" s="7"/>
      <c r="AI31" s="7"/>
      <c r="AJ31" s="7">
        <f t="shared" si="1"/>
        <v>34</v>
      </c>
    </row>
    <row r="32" spans="1:36" ht="25" x14ac:dyDescent="0.25">
      <c r="A32" s="1" t="s">
        <v>99</v>
      </c>
      <c r="B32" s="2" t="s">
        <v>23</v>
      </c>
      <c r="C32" s="2" t="s">
        <v>66</v>
      </c>
      <c r="D32" s="2" t="s">
        <v>67</v>
      </c>
      <c r="E32" s="2" t="s">
        <v>66</v>
      </c>
      <c r="F32" s="2" t="s">
        <v>58</v>
      </c>
      <c r="G32" s="2" t="s">
        <v>93</v>
      </c>
      <c r="H32" s="2" t="s">
        <v>94</v>
      </c>
      <c r="I32" s="2" t="s">
        <v>94</v>
      </c>
      <c r="J32" s="2" t="s">
        <v>100</v>
      </c>
      <c r="K32" s="2" t="s">
        <v>29</v>
      </c>
      <c r="L32" s="2" t="s">
        <v>30</v>
      </c>
      <c r="M32" s="2" t="s">
        <v>31</v>
      </c>
      <c r="N32" s="2" t="s">
        <v>67</v>
      </c>
      <c r="O32" s="3">
        <v>214</v>
      </c>
      <c r="P32" s="4">
        <v>1075</v>
      </c>
      <c r="Q32" s="4"/>
      <c r="R32" s="4">
        <v>0</v>
      </c>
      <c r="S32" s="4">
        <v>775</v>
      </c>
      <c r="T32" s="63">
        <v>1850</v>
      </c>
      <c r="U32" s="80" t="s">
        <v>36</v>
      </c>
      <c r="V32" s="72">
        <v>0.5</v>
      </c>
      <c r="W32" s="6">
        <f t="shared" si="0"/>
        <v>107</v>
      </c>
      <c r="X32" s="7"/>
      <c r="Y32" s="7">
        <v>5</v>
      </c>
      <c r="Z32" s="7">
        <v>8</v>
      </c>
      <c r="AA32" s="7">
        <v>6</v>
      </c>
      <c r="AB32" s="7">
        <v>17</v>
      </c>
      <c r="AC32" s="7">
        <v>9</v>
      </c>
      <c r="AD32" s="7">
        <v>24</v>
      </c>
      <c r="AE32" s="7">
        <v>29</v>
      </c>
      <c r="AF32" s="7">
        <v>53</v>
      </c>
      <c r="AG32" s="7"/>
      <c r="AH32" s="7">
        <v>25</v>
      </c>
      <c r="AI32" s="7">
        <v>14</v>
      </c>
      <c r="AJ32" s="7">
        <f t="shared" si="1"/>
        <v>190</v>
      </c>
    </row>
    <row r="33" spans="1:36" ht="25" x14ac:dyDescent="0.25">
      <c r="A33" s="1" t="s">
        <v>101</v>
      </c>
      <c r="B33" s="2" t="s">
        <v>23</v>
      </c>
      <c r="C33" s="2" t="s">
        <v>66</v>
      </c>
      <c r="D33" s="2" t="s">
        <v>67</v>
      </c>
      <c r="E33" s="2" t="s">
        <v>66</v>
      </c>
      <c r="F33" s="2" t="s">
        <v>58</v>
      </c>
      <c r="G33" s="2" t="s">
        <v>93</v>
      </c>
      <c r="H33" s="2" t="s">
        <v>102</v>
      </c>
      <c r="I33" s="2" t="s">
        <v>102</v>
      </c>
      <c r="J33" s="2" t="s">
        <v>97</v>
      </c>
      <c r="K33" s="2" t="s">
        <v>29</v>
      </c>
      <c r="L33" s="2" t="s">
        <v>30</v>
      </c>
      <c r="M33" s="2" t="s">
        <v>31</v>
      </c>
      <c r="N33" s="2" t="s">
        <v>67</v>
      </c>
      <c r="O33" s="3">
        <v>95</v>
      </c>
      <c r="P33" s="4">
        <v>1025</v>
      </c>
      <c r="Q33" s="4"/>
      <c r="R33" s="4">
        <v>0</v>
      </c>
      <c r="S33" s="4">
        <v>1070</v>
      </c>
      <c r="T33" s="63">
        <v>2095</v>
      </c>
      <c r="U33" s="80" t="s">
        <v>36</v>
      </c>
      <c r="V33" s="72">
        <v>0.5</v>
      </c>
      <c r="W33" s="6">
        <f t="shared" si="0"/>
        <v>47.5</v>
      </c>
      <c r="X33" s="7">
        <v>3</v>
      </c>
      <c r="Y33" s="7">
        <v>8</v>
      </c>
      <c r="Z33" s="7">
        <v>3</v>
      </c>
      <c r="AA33" s="7">
        <v>6</v>
      </c>
      <c r="AB33" s="7">
        <v>2</v>
      </c>
      <c r="AC33" s="7">
        <v>14</v>
      </c>
      <c r="AD33" s="7">
        <v>17</v>
      </c>
      <c r="AE33" s="7">
        <v>6</v>
      </c>
      <c r="AF33" s="7">
        <v>11</v>
      </c>
      <c r="AG33" s="7">
        <v>18</v>
      </c>
      <c r="AH33" s="7">
        <v>34</v>
      </c>
      <c r="AI33" s="7">
        <v>3</v>
      </c>
      <c r="AJ33" s="7">
        <f t="shared" si="1"/>
        <v>125</v>
      </c>
    </row>
    <row r="34" spans="1:36" ht="25" x14ac:dyDescent="0.25">
      <c r="A34" s="1" t="s">
        <v>103</v>
      </c>
      <c r="B34" s="2" t="s">
        <v>23</v>
      </c>
      <c r="C34" s="2" t="s">
        <v>66</v>
      </c>
      <c r="D34" s="2" t="s">
        <v>67</v>
      </c>
      <c r="E34" s="2" t="s">
        <v>66</v>
      </c>
      <c r="F34" s="2" t="s">
        <v>58</v>
      </c>
      <c r="G34" s="2" t="s">
        <v>93</v>
      </c>
      <c r="H34" s="2" t="s">
        <v>102</v>
      </c>
      <c r="I34" s="2" t="s">
        <v>102</v>
      </c>
      <c r="J34" s="2" t="s">
        <v>70</v>
      </c>
      <c r="K34" s="2" t="s">
        <v>29</v>
      </c>
      <c r="L34" s="2" t="s">
        <v>30</v>
      </c>
      <c r="M34" s="2" t="s">
        <v>31</v>
      </c>
      <c r="N34" s="2" t="s">
        <v>67</v>
      </c>
      <c r="O34" s="3">
        <v>40</v>
      </c>
      <c r="P34" s="4">
        <v>1025</v>
      </c>
      <c r="Q34" s="4"/>
      <c r="R34" s="4">
        <v>0</v>
      </c>
      <c r="S34" s="4">
        <v>1070</v>
      </c>
      <c r="T34" s="63">
        <v>2095</v>
      </c>
      <c r="U34" s="80" t="s">
        <v>36</v>
      </c>
      <c r="V34" s="72">
        <v>0.5</v>
      </c>
      <c r="W34" s="6">
        <f t="shared" si="0"/>
        <v>20</v>
      </c>
      <c r="X34" s="7">
        <v>4</v>
      </c>
      <c r="Y34" s="7">
        <v>2</v>
      </c>
      <c r="Z34" s="7">
        <v>3</v>
      </c>
      <c r="AA34" s="7"/>
      <c r="AB34" s="7">
        <v>4</v>
      </c>
      <c r="AC34" s="7"/>
      <c r="AD34" s="7">
        <v>10</v>
      </c>
      <c r="AE34" s="7">
        <v>9</v>
      </c>
      <c r="AF34" s="7">
        <v>9</v>
      </c>
      <c r="AG34" s="7">
        <v>10</v>
      </c>
      <c r="AH34" s="7">
        <v>11</v>
      </c>
      <c r="AI34" s="7">
        <v>3</v>
      </c>
      <c r="AJ34" s="7">
        <f t="shared" si="1"/>
        <v>65</v>
      </c>
    </row>
    <row r="35" spans="1:36" ht="25" hidden="1" x14ac:dyDescent="0.25">
      <c r="A35" s="1" t="s">
        <v>104</v>
      </c>
      <c r="B35" s="2" t="s">
        <v>105</v>
      </c>
      <c r="C35" s="2" t="s">
        <v>106</v>
      </c>
      <c r="D35" s="2" t="s">
        <v>107</v>
      </c>
      <c r="E35" s="2" t="s">
        <v>106</v>
      </c>
      <c r="F35" s="2" t="s">
        <v>23</v>
      </c>
      <c r="G35" s="2" t="s">
        <v>26</v>
      </c>
      <c r="H35" s="2" t="s">
        <v>108</v>
      </c>
      <c r="I35" s="2" t="s">
        <v>108</v>
      </c>
      <c r="J35" s="2" t="s">
        <v>40</v>
      </c>
      <c r="K35" s="2" t="s">
        <v>29</v>
      </c>
      <c r="L35" s="2" t="s">
        <v>30</v>
      </c>
      <c r="M35" s="2" t="s">
        <v>31</v>
      </c>
      <c r="N35" s="2" t="s">
        <v>107</v>
      </c>
      <c r="O35" s="3">
        <v>42</v>
      </c>
      <c r="P35" s="4">
        <v>550</v>
      </c>
      <c r="Q35" s="4"/>
      <c r="R35" s="4">
        <v>0</v>
      </c>
      <c r="S35" s="4">
        <v>1750</v>
      </c>
      <c r="T35" s="63">
        <v>2300</v>
      </c>
      <c r="U35" s="80" t="s">
        <v>36</v>
      </c>
      <c r="V35" s="72">
        <v>0.05</v>
      </c>
      <c r="W35" s="6">
        <f t="shared" si="0"/>
        <v>2.1</v>
      </c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>
        <f t="shared" si="1"/>
        <v>0</v>
      </c>
    </row>
    <row r="36" spans="1:36" ht="25" hidden="1" x14ac:dyDescent="0.25">
      <c r="A36" s="1" t="s">
        <v>109</v>
      </c>
      <c r="B36" s="2" t="s">
        <v>105</v>
      </c>
      <c r="C36" s="2" t="s">
        <v>106</v>
      </c>
      <c r="D36" s="2" t="s">
        <v>107</v>
      </c>
      <c r="E36" s="2" t="s">
        <v>106</v>
      </c>
      <c r="F36" s="2" t="s">
        <v>23</v>
      </c>
      <c r="G36" s="2" t="s">
        <v>26</v>
      </c>
      <c r="H36" s="2" t="s">
        <v>108</v>
      </c>
      <c r="I36" s="2" t="s">
        <v>108</v>
      </c>
      <c r="J36" s="2" t="s">
        <v>110</v>
      </c>
      <c r="K36" s="2" t="s">
        <v>29</v>
      </c>
      <c r="L36" s="2" t="s">
        <v>30</v>
      </c>
      <c r="M36" s="2" t="s">
        <v>31</v>
      </c>
      <c r="N36" s="2" t="s">
        <v>107</v>
      </c>
      <c r="O36" s="3">
        <v>2</v>
      </c>
      <c r="P36" s="4">
        <v>550</v>
      </c>
      <c r="Q36" s="4"/>
      <c r="R36" s="4">
        <v>0</v>
      </c>
      <c r="S36" s="4">
        <v>1750</v>
      </c>
      <c r="T36" s="63">
        <v>2300</v>
      </c>
      <c r="U36" s="80" t="s">
        <v>36</v>
      </c>
      <c r="V36" s="72">
        <v>0.05</v>
      </c>
      <c r="W36" s="6">
        <v>1</v>
      </c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>
        <f t="shared" si="1"/>
        <v>0</v>
      </c>
    </row>
    <row r="37" spans="1:36" ht="25" hidden="1" x14ac:dyDescent="0.25">
      <c r="A37" s="1" t="s">
        <v>111</v>
      </c>
      <c r="B37" s="2" t="s">
        <v>105</v>
      </c>
      <c r="C37" s="2" t="s">
        <v>106</v>
      </c>
      <c r="D37" s="2" t="s">
        <v>107</v>
      </c>
      <c r="E37" s="2" t="s">
        <v>106</v>
      </c>
      <c r="F37" s="2" t="s">
        <v>23</v>
      </c>
      <c r="G37" s="2" t="s">
        <v>26</v>
      </c>
      <c r="H37" s="2" t="s">
        <v>112</v>
      </c>
      <c r="I37" s="2" t="s">
        <v>112</v>
      </c>
      <c r="J37" s="2" t="s">
        <v>40</v>
      </c>
      <c r="K37" s="2" t="s">
        <v>29</v>
      </c>
      <c r="L37" s="2" t="s">
        <v>30</v>
      </c>
      <c r="M37" s="2" t="s">
        <v>31</v>
      </c>
      <c r="N37" s="2" t="s">
        <v>107</v>
      </c>
      <c r="O37" s="3">
        <v>47</v>
      </c>
      <c r="P37" s="4">
        <v>550</v>
      </c>
      <c r="Q37" s="4"/>
      <c r="R37" s="4">
        <v>0</v>
      </c>
      <c r="S37" s="4">
        <v>1750</v>
      </c>
      <c r="T37" s="63">
        <v>2300</v>
      </c>
      <c r="U37" s="80" t="s">
        <v>36</v>
      </c>
      <c r="V37" s="72">
        <v>0.05</v>
      </c>
      <c r="W37" s="6">
        <f t="shared" si="0"/>
        <v>2.35</v>
      </c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>
        <f t="shared" si="1"/>
        <v>0</v>
      </c>
    </row>
    <row r="38" spans="1:36" ht="25" hidden="1" x14ac:dyDescent="0.25">
      <c r="A38" s="1" t="s">
        <v>113</v>
      </c>
      <c r="B38" s="2" t="s">
        <v>105</v>
      </c>
      <c r="C38" s="2" t="s">
        <v>106</v>
      </c>
      <c r="D38" s="2" t="s">
        <v>107</v>
      </c>
      <c r="E38" s="2" t="s">
        <v>106</v>
      </c>
      <c r="F38" s="2" t="s">
        <v>23</v>
      </c>
      <c r="G38" s="2" t="s">
        <v>26</v>
      </c>
      <c r="H38" s="48" t="s">
        <v>112</v>
      </c>
      <c r="I38" s="48" t="s">
        <v>112</v>
      </c>
      <c r="J38" s="48" t="s">
        <v>110</v>
      </c>
      <c r="K38" s="48" t="s">
        <v>29</v>
      </c>
      <c r="L38" s="48" t="s">
        <v>30</v>
      </c>
      <c r="M38" s="48" t="s">
        <v>31</v>
      </c>
      <c r="N38" s="48" t="s">
        <v>107</v>
      </c>
      <c r="O38" s="49">
        <v>12</v>
      </c>
      <c r="P38" s="50">
        <v>550</v>
      </c>
      <c r="Q38" s="50"/>
      <c r="R38" s="50">
        <v>0</v>
      </c>
      <c r="S38" s="50">
        <v>1750</v>
      </c>
      <c r="T38" s="64">
        <v>2300</v>
      </c>
      <c r="U38" s="81" t="s">
        <v>36</v>
      </c>
      <c r="V38" s="73">
        <v>0.05</v>
      </c>
      <c r="W38" s="51">
        <f t="shared" si="0"/>
        <v>0.60000000000000009</v>
      </c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>
        <f t="shared" si="1"/>
        <v>0</v>
      </c>
    </row>
    <row r="39" spans="1:36" ht="25" x14ac:dyDescent="0.25">
      <c r="A39" s="59" t="s">
        <v>145</v>
      </c>
      <c r="B39" s="46" t="s">
        <v>23</v>
      </c>
      <c r="C39" s="2" t="s">
        <v>66</v>
      </c>
      <c r="D39" s="2" t="s">
        <v>67</v>
      </c>
      <c r="E39" s="46" t="s">
        <v>66</v>
      </c>
      <c r="F39" s="2" t="s">
        <v>58</v>
      </c>
      <c r="G39" s="2" t="s">
        <v>93</v>
      </c>
      <c r="H39" s="54" t="s">
        <v>146</v>
      </c>
      <c r="I39" s="54" t="s">
        <v>146</v>
      </c>
      <c r="J39" s="46" t="s">
        <v>70</v>
      </c>
      <c r="K39" s="55" t="s">
        <v>29</v>
      </c>
      <c r="L39" s="47" t="s">
        <v>30</v>
      </c>
      <c r="M39" s="57">
        <v>15</v>
      </c>
      <c r="N39" s="2" t="s">
        <v>67</v>
      </c>
      <c r="O39" s="53">
        <v>83</v>
      </c>
      <c r="P39" s="66">
        <v>1450</v>
      </c>
      <c r="Q39" s="83">
        <v>1775</v>
      </c>
      <c r="R39" s="83">
        <v>350</v>
      </c>
      <c r="S39" s="69">
        <v>975</v>
      </c>
      <c r="T39" s="65">
        <v>4200</v>
      </c>
      <c r="U39" s="84" t="s">
        <v>167</v>
      </c>
      <c r="V39" s="74">
        <v>0.3</v>
      </c>
      <c r="W39" s="85">
        <v>24.9</v>
      </c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>
        <f>SUM(AJ8:AJ38)</f>
        <v>1003</v>
      </c>
    </row>
    <row r="40" spans="1:36" ht="18.649999999999999" hidden="1" customHeight="1" x14ac:dyDescent="0.25">
      <c r="A40" s="86" t="s">
        <v>148</v>
      </c>
      <c r="B40" s="46" t="s">
        <v>23</v>
      </c>
      <c r="C40" s="87" t="s">
        <v>24</v>
      </c>
      <c r="D40" s="87" t="s">
        <v>25</v>
      </c>
      <c r="E40" s="87" t="s">
        <v>24</v>
      </c>
      <c r="F40" s="2" t="s">
        <v>23</v>
      </c>
      <c r="G40" s="58" t="s">
        <v>26</v>
      </c>
      <c r="H40" s="58" t="s">
        <v>149</v>
      </c>
      <c r="I40" s="88" t="s">
        <v>149</v>
      </c>
      <c r="J40" s="58" t="s">
        <v>45</v>
      </c>
      <c r="K40" s="89" t="s">
        <v>29</v>
      </c>
      <c r="L40" s="58" t="s">
        <v>30</v>
      </c>
      <c r="M40" s="57">
        <v>15</v>
      </c>
      <c r="N40" s="90" t="s">
        <v>25</v>
      </c>
      <c r="O40" s="7"/>
      <c r="P40" s="91">
        <v>370</v>
      </c>
      <c r="Q40" s="92"/>
      <c r="R40" s="93">
        <v>0</v>
      </c>
      <c r="S40" s="94">
        <v>600</v>
      </c>
      <c r="T40" s="95">
        <v>970</v>
      </c>
      <c r="U40" s="7" t="s">
        <v>168</v>
      </c>
      <c r="V40" s="7"/>
      <c r="W40" s="96">
        <v>6</v>
      </c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>
        <f t="shared" ref="AJ40:AJ44" si="2">SUM(AJ10:AJ39)</f>
        <v>2006</v>
      </c>
    </row>
    <row r="41" spans="1:36" ht="19.25" hidden="1" customHeight="1" x14ac:dyDescent="0.25">
      <c r="A41" s="86" t="s">
        <v>150</v>
      </c>
      <c r="B41" s="46" t="s">
        <v>23</v>
      </c>
      <c r="C41" s="87" t="s">
        <v>24</v>
      </c>
      <c r="D41" s="87" t="s">
        <v>25</v>
      </c>
      <c r="E41" s="87" t="s">
        <v>24</v>
      </c>
      <c r="F41" s="2" t="s">
        <v>23</v>
      </c>
      <c r="G41" s="58" t="s">
        <v>26</v>
      </c>
      <c r="H41" s="58" t="s">
        <v>151</v>
      </c>
      <c r="I41" s="88" t="s">
        <v>151</v>
      </c>
      <c r="J41" s="58" t="s">
        <v>45</v>
      </c>
      <c r="K41" s="89" t="s">
        <v>29</v>
      </c>
      <c r="L41" s="58" t="s">
        <v>30</v>
      </c>
      <c r="M41" s="57">
        <v>15</v>
      </c>
      <c r="N41" s="90" t="s">
        <v>25</v>
      </c>
      <c r="O41" s="7"/>
      <c r="P41" s="91">
        <v>370</v>
      </c>
      <c r="Q41" s="92"/>
      <c r="R41" s="93">
        <v>0</v>
      </c>
      <c r="S41" s="94">
        <v>500</v>
      </c>
      <c r="T41" s="95">
        <v>870</v>
      </c>
      <c r="U41" s="7" t="s">
        <v>168</v>
      </c>
      <c r="V41" s="7"/>
      <c r="W41" s="96">
        <v>6</v>
      </c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>
        <f t="shared" si="2"/>
        <v>4012</v>
      </c>
    </row>
    <row r="42" spans="1:36" ht="19.25" hidden="1" customHeight="1" x14ac:dyDescent="0.25">
      <c r="A42" s="86" t="s">
        <v>152</v>
      </c>
      <c r="B42" s="46" t="s">
        <v>23</v>
      </c>
      <c r="C42" s="87" t="s">
        <v>24</v>
      </c>
      <c r="D42" s="87" t="s">
        <v>25</v>
      </c>
      <c r="E42" s="87" t="s">
        <v>24</v>
      </c>
      <c r="F42" s="2" t="s">
        <v>23</v>
      </c>
      <c r="G42" s="58" t="s">
        <v>26</v>
      </c>
      <c r="H42" s="58" t="s">
        <v>153</v>
      </c>
      <c r="I42" s="88" t="s">
        <v>153</v>
      </c>
      <c r="J42" s="58" t="s">
        <v>28</v>
      </c>
      <c r="K42" s="89" t="s">
        <v>29</v>
      </c>
      <c r="L42" s="58" t="s">
        <v>30</v>
      </c>
      <c r="M42" s="57">
        <v>15</v>
      </c>
      <c r="N42" s="90" t="s">
        <v>25</v>
      </c>
      <c r="O42" s="7"/>
      <c r="P42" s="91">
        <v>740</v>
      </c>
      <c r="Q42" s="92"/>
      <c r="R42" s="93">
        <v>0</v>
      </c>
      <c r="S42" s="94">
        <v>700</v>
      </c>
      <c r="T42" s="95">
        <v>1440</v>
      </c>
      <c r="U42" s="7" t="s">
        <v>168</v>
      </c>
      <c r="V42" s="7"/>
      <c r="W42" s="96">
        <v>6</v>
      </c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>
        <f t="shared" si="2"/>
        <v>8024</v>
      </c>
    </row>
    <row r="43" spans="1:36" ht="18.649999999999999" hidden="1" customHeight="1" x14ac:dyDescent="0.25">
      <c r="A43" s="86" t="s">
        <v>154</v>
      </c>
      <c r="B43" s="46" t="s">
        <v>23</v>
      </c>
      <c r="C43" s="87" t="s">
        <v>24</v>
      </c>
      <c r="D43" s="87" t="s">
        <v>25</v>
      </c>
      <c r="E43" s="87" t="s">
        <v>24</v>
      </c>
      <c r="F43" s="2" t="s">
        <v>23</v>
      </c>
      <c r="G43" s="58" t="s">
        <v>47</v>
      </c>
      <c r="H43" s="58" t="s">
        <v>48</v>
      </c>
      <c r="I43" s="88" t="s">
        <v>48</v>
      </c>
      <c r="J43" s="86" t="s">
        <v>155</v>
      </c>
      <c r="K43" s="89" t="s">
        <v>29</v>
      </c>
      <c r="L43" s="58" t="s">
        <v>30</v>
      </c>
      <c r="M43" s="57">
        <v>15</v>
      </c>
      <c r="N43" s="90" t="s">
        <v>25</v>
      </c>
      <c r="O43" s="7"/>
      <c r="P43" s="91">
        <v>400</v>
      </c>
      <c r="Q43" s="92"/>
      <c r="R43" s="93">
        <v>0</v>
      </c>
      <c r="S43" s="95">
        <v>850</v>
      </c>
      <c r="T43" s="95">
        <v>1250</v>
      </c>
      <c r="U43" s="7" t="s">
        <v>168</v>
      </c>
      <c r="V43" s="7"/>
      <c r="W43" s="96">
        <v>60</v>
      </c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>
        <f t="shared" si="2"/>
        <v>16048</v>
      </c>
    </row>
    <row r="44" spans="1:36" ht="17" hidden="1" customHeight="1" x14ac:dyDescent="0.25">
      <c r="A44" s="86" t="s">
        <v>156</v>
      </c>
      <c r="B44" s="46" t="s">
        <v>23</v>
      </c>
      <c r="C44" s="87" t="s">
        <v>24</v>
      </c>
      <c r="D44" s="87" t="s">
        <v>25</v>
      </c>
      <c r="E44" s="87" t="s">
        <v>24</v>
      </c>
      <c r="F44" s="2" t="s">
        <v>23</v>
      </c>
      <c r="G44" s="58" t="s">
        <v>26</v>
      </c>
      <c r="H44" s="58" t="s">
        <v>157</v>
      </c>
      <c r="I44" s="88" t="s">
        <v>157</v>
      </c>
      <c r="J44" s="58" t="s">
        <v>155</v>
      </c>
      <c r="K44" s="89" t="s">
        <v>29</v>
      </c>
      <c r="L44" s="58" t="s">
        <v>30</v>
      </c>
      <c r="M44" s="57">
        <v>15</v>
      </c>
      <c r="N44" s="90" t="s">
        <v>25</v>
      </c>
      <c r="O44" s="7"/>
      <c r="P44" s="97">
        <v>390</v>
      </c>
      <c r="Q44" s="92"/>
      <c r="R44" s="93">
        <v>0</v>
      </c>
      <c r="S44" s="95">
        <v>450</v>
      </c>
      <c r="T44" s="95">
        <v>840</v>
      </c>
      <c r="U44" s="7" t="s">
        <v>168</v>
      </c>
      <c r="V44" s="7"/>
      <c r="W44" s="96">
        <v>28</v>
      </c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>
        <f t="shared" si="2"/>
        <v>32096</v>
      </c>
    </row>
    <row r="45" spans="1:36" ht="16.25" hidden="1" customHeight="1" x14ac:dyDescent="0.25">
      <c r="A45" s="59" t="s">
        <v>158</v>
      </c>
      <c r="B45" s="56" t="s">
        <v>23</v>
      </c>
      <c r="C45" s="11" t="s">
        <v>24</v>
      </c>
      <c r="D45" s="11" t="s">
        <v>25</v>
      </c>
      <c r="E45" s="11" t="s">
        <v>24</v>
      </c>
      <c r="F45" s="2" t="s">
        <v>23</v>
      </c>
      <c r="G45" s="2" t="s">
        <v>68</v>
      </c>
      <c r="H45" s="56" t="s">
        <v>159</v>
      </c>
      <c r="I45" s="56" t="s">
        <v>159</v>
      </c>
      <c r="J45" s="56" t="s">
        <v>160</v>
      </c>
      <c r="K45" s="55" t="s">
        <v>29</v>
      </c>
      <c r="L45" s="58" t="s">
        <v>30</v>
      </c>
      <c r="M45" s="57">
        <v>15</v>
      </c>
      <c r="N45" s="60" t="s">
        <v>25</v>
      </c>
      <c r="O45" s="77">
        <v>20</v>
      </c>
      <c r="P45" s="67">
        <v>1800</v>
      </c>
      <c r="Q45" s="70"/>
      <c r="R45" s="68">
        <v>0</v>
      </c>
      <c r="S45" s="69">
        <v>1200</v>
      </c>
      <c r="T45" s="65">
        <v>3000</v>
      </c>
      <c r="U45" s="78" t="s">
        <v>167</v>
      </c>
      <c r="V45" s="74">
        <v>1</v>
      </c>
      <c r="W45" s="75">
        <v>20</v>
      </c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>
        <f>SUM(AJ17:AJ44)</f>
        <v>64192</v>
      </c>
    </row>
    <row r="46" spans="1:36" ht="18" hidden="1" customHeight="1" x14ac:dyDescent="0.25">
      <c r="A46" s="59" t="s">
        <v>161</v>
      </c>
      <c r="B46" s="56" t="s">
        <v>23</v>
      </c>
      <c r="C46" s="11" t="s">
        <v>24</v>
      </c>
      <c r="D46" s="11" t="s">
        <v>25</v>
      </c>
      <c r="E46" s="11" t="s">
        <v>24</v>
      </c>
      <c r="F46" s="2" t="s">
        <v>23</v>
      </c>
      <c r="G46" s="2" t="s">
        <v>68</v>
      </c>
      <c r="H46" s="56" t="s">
        <v>74</v>
      </c>
      <c r="I46" s="56" t="s">
        <v>74</v>
      </c>
      <c r="J46" s="56" t="s">
        <v>43</v>
      </c>
      <c r="K46" s="55" t="s">
        <v>29</v>
      </c>
      <c r="L46" s="58" t="s">
        <v>30</v>
      </c>
      <c r="M46" s="57">
        <v>15</v>
      </c>
      <c r="N46" s="61" t="s">
        <v>25</v>
      </c>
      <c r="O46" s="53">
        <v>16</v>
      </c>
      <c r="P46" s="67">
        <v>1600</v>
      </c>
      <c r="Q46" s="70"/>
      <c r="R46" s="68">
        <v>0</v>
      </c>
      <c r="S46" s="70">
        <v>1200</v>
      </c>
      <c r="T46" s="65">
        <v>2800</v>
      </c>
      <c r="U46" s="78" t="s">
        <v>167</v>
      </c>
      <c r="V46" s="74">
        <v>1</v>
      </c>
      <c r="W46" s="76">
        <v>16</v>
      </c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>
        <f>SUM(AJ18:AJ45)</f>
        <v>128384</v>
      </c>
    </row>
    <row r="47" spans="1:36" ht="17" hidden="1" customHeight="1" x14ac:dyDescent="0.25">
      <c r="A47" s="59" t="s">
        <v>162</v>
      </c>
      <c r="B47" s="56" t="s">
        <v>23</v>
      </c>
      <c r="C47" s="11" t="s">
        <v>24</v>
      </c>
      <c r="D47" s="11" t="s">
        <v>25</v>
      </c>
      <c r="E47" s="11" t="s">
        <v>24</v>
      </c>
      <c r="F47" s="2" t="s">
        <v>23</v>
      </c>
      <c r="G47" s="2" t="s">
        <v>68</v>
      </c>
      <c r="H47" s="56" t="s">
        <v>163</v>
      </c>
      <c r="I47" s="56" t="s">
        <v>163</v>
      </c>
      <c r="J47" s="56" t="s">
        <v>164</v>
      </c>
      <c r="K47" s="55" t="s">
        <v>29</v>
      </c>
      <c r="L47" s="58" t="s">
        <v>30</v>
      </c>
      <c r="M47" s="57">
        <v>15</v>
      </c>
      <c r="N47" s="61" t="s">
        <v>25</v>
      </c>
      <c r="O47" s="53">
        <v>24</v>
      </c>
      <c r="P47" s="67">
        <v>2800</v>
      </c>
      <c r="Q47" s="70"/>
      <c r="R47" s="68">
        <v>0</v>
      </c>
      <c r="S47" s="70">
        <v>2000</v>
      </c>
      <c r="T47" s="65">
        <v>4800</v>
      </c>
      <c r="U47" s="78" t="s">
        <v>167</v>
      </c>
      <c r="V47" s="74">
        <v>1</v>
      </c>
      <c r="W47" s="76">
        <v>24</v>
      </c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>
        <f>SUM(AJ19:AJ46)</f>
        <v>256768</v>
      </c>
    </row>
    <row r="48" spans="1:36" ht="21" hidden="1" customHeight="1" x14ac:dyDescent="0.25">
      <c r="A48" s="59" t="s">
        <v>165</v>
      </c>
      <c r="B48" s="56" t="s">
        <v>23</v>
      </c>
      <c r="C48" s="11" t="s">
        <v>24</v>
      </c>
      <c r="D48" s="11" t="s">
        <v>25</v>
      </c>
      <c r="E48" s="11" t="s">
        <v>24</v>
      </c>
      <c r="F48" s="2" t="s">
        <v>23</v>
      </c>
      <c r="G48" s="2" t="s">
        <v>68</v>
      </c>
      <c r="H48" s="56" t="s">
        <v>166</v>
      </c>
      <c r="I48" s="56" t="s">
        <v>166</v>
      </c>
      <c r="J48" s="56" t="s">
        <v>164</v>
      </c>
      <c r="K48" s="55" t="s">
        <v>29</v>
      </c>
      <c r="L48" s="58" t="s">
        <v>30</v>
      </c>
      <c r="M48" s="57">
        <v>15</v>
      </c>
      <c r="N48" s="61" t="s">
        <v>25</v>
      </c>
      <c r="O48" s="53">
        <v>24</v>
      </c>
      <c r="P48" s="67">
        <v>1800</v>
      </c>
      <c r="Q48" s="70"/>
      <c r="R48" s="68">
        <v>0</v>
      </c>
      <c r="S48" s="70">
        <v>1400</v>
      </c>
      <c r="T48" s="65">
        <v>3200</v>
      </c>
      <c r="U48" s="78" t="s">
        <v>167</v>
      </c>
      <c r="V48" s="74">
        <v>1</v>
      </c>
      <c r="W48" s="76">
        <v>24</v>
      </c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>
        <f>SUM(AJ20:AJ47)</f>
        <v>513536</v>
      </c>
    </row>
    <row r="49" spans="23:36" ht="13" hidden="1" x14ac:dyDescent="0.3">
      <c r="W49" s="82">
        <f>SUM(W8:W48)</f>
        <v>995.11</v>
      </c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>
        <f>SUM(AJ21:AJ48)</f>
        <v>1027072</v>
      </c>
    </row>
  </sheetData>
  <autoFilter ref="A6:AJ49" xr:uid="{D1E454D6-B789-434E-A8EC-D461F1E1C6DC}">
    <filterColumn colId="4">
      <filters>
        <filter val="LAEM CHABANG"/>
      </filters>
    </filterColumn>
  </autoFilter>
  <mergeCells count="36"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V6:V7"/>
    <mergeCell ref="N6:N7"/>
    <mergeCell ref="O6:O7"/>
    <mergeCell ref="P6:P7"/>
    <mergeCell ref="J6:J7"/>
    <mergeCell ref="K6:K7"/>
    <mergeCell ref="L6:L7"/>
    <mergeCell ref="M6:M7"/>
    <mergeCell ref="Q6:Q7"/>
    <mergeCell ref="R6:R7"/>
    <mergeCell ref="S6:S7"/>
    <mergeCell ref="T6:T7"/>
    <mergeCell ref="U6:U7"/>
    <mergeCell ref="AJ6:AJ7"/>
    <mergeCell ref="W6:W7"/>
    <mergeCell ref="X6:X7"/>
    <mergeCell ref="Y6:Y7"/>
    <mergeCell ref="Z6:Z7"/>
    <mergeCell ref="AA6:AA7"/>
    <mergeCell ref="AB6:AB7"/>
    <mergeCell ref="AI6:AI7"/>
    <mergeCell ref="AH6:AH7"/>
    <mergeCell ref="AC6:AC7"/>
    <mergeCell ref="AD6:AD7"/>
    <mergeCell ref="AE6:AE7"/>
    <mergeCell ref="AF6:AF7"/>
    <mergeCell ref="AG6:AG7"/>
  </mergeCells>
  <phoneticPr fontId="2" type="noConversion"/>
  <conditionalFormatting sqref="P8:P38">
    <cfRule type="expression" dxfId="42" priority="22">
      <formula>AND(VLOOKUP($M8,MISSING,3,0)=1,ISBLANK(P8),$X8="Missing Bids")</formula>
    </cfRule>
  </conditionalFormatting>
  <conditionalFormatting sqref="P40:P43">
    <cfRule type="expression" dxfId="41" priority="2">
      <formula>AND(VLOOKUP($Q40,MISSING,3,0)=1,ISBLANK(P40),$AF40="Missing Bids")</formula>
    </cfRule>
  </conditionalFormatting>
  <conditionalFormatting sqref="Q8:Q38">
    <cfRule type="expression" dxfId="40" priority="23">
      <formula>AND(VLOOKUP($M8,MISSING,4,0)=1,ISBLANK(Q8),$X8="Missing Bids")</formula>
    </cfRule>
  </conditionalFormatting>
  <conditionalFormatting sqref="R8:R38">
    <cfRule type="expression" dxfId="39" priority="24">
      <formula>AND(VLOOKUP($M8,MISSING,5,0)=1,ISBLANK(R8),$X8="Missing Bids")</formula>
    </cfRule>
  </conditionalFormatting>
  <conditionalFormatting sqref="S8:S38">
    <cfRule type="expression" dxfId="38" priority="25">
      <formula>AND(VLOOKUP($M8,MISSING,6,0)=1,ISBLANK(S8),$X8="Missing Bids")</formula>
    </cfRule>
  </conditionalFormatting>
  <conditionalFormatting sqref="S40:S42">
    <cfRule type="expression" dxfId="37" priority="1">
      <formula>AND(VLOOKUP($Q40,MISSING,6,0)=1,ISBLANK(S40),$AF40="Missing Bids")</formula>
    </cfRule>
  </conditionalFormatting>
  <conditionalFormatting sqref="U8:U38">
    <cfRule type="cellIs" dxfId="36" priority="3" operator="equal">
      <formula>"Complete"</formula>
    </cfRule>
    <cfRule type="cellIs" dxfId="35" priority="4" operator="equal">
      <formula>"Missing Bids"</formula>
    </cfRule>
    <cfRule type="cellIs" dxfId="34" priority="5" operator="equal">
      <formula>"No Bids"</formula>
    </cfRule>
  </conditionalFormatting>
  <conditionalFormatting sqref="V8:V38">
    <cfRule type="notContainsBlanks" dxfId="33" priority="11">
      <formula>LEN(TRIM(V8))&gt;0</formula>
    </cfRule>
  </conditionalFormatting>
  <dataValidations count="3">
    <dataValidation type="textLength" operator="lessThanOrEqual" allowBlank="1" showInputMessage="1" showErrorMessage="1" errorTitle="Invalid value" error="The text entered for [Equipment Type] is not allowed to have more than 32,767 characters." sqref="L39 O39 W45 W48 O45 O48" xr:uid="{D3911526-53CC-475C-BE24-94D315DABE46}">
      <formula1>32767</formula1>
    </dataValidation>
    <dataValidation type="whole" allowBlank="1" showInputMessage="1" showErrorMessage="1" errorTitle="Invalid value" error="The value entered for ocean freight haz mat fee (USD) must be an integer." sqref="P39" xr:uid="{9EF25987-F53C-46CD-8099-6CC26D0970E4}">
      <formula1>-1E+307</formula1>
      <formula2>9.99999999999999E+307</formula2>
    </dataValidation>
    <dataValidation type="textLength" operator="lessThanOrEqual" allowBlank="1" showInputMessage="1" showErrorMessage="1" errorTitle="Invalid value" error="The text entered for [Suppliers Notes/Comments] is not allowed to have more than 32,767 characters." sqref="S39 S45" xr:uid="{A580A97F-BB9C-4DA3-9F8B-CCA85409EB99}">
      <formula1>32767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76D6E-0852-4B83-9C27-0B3889EF2C54}">
  <dimension ref="A1:AQ35"/>
  <sheetViews>
    <sheetView topLeftCell="P17" zoomScale="66" zoomScaleNormal="66" workbookViewId="0">
      <selection activeCell="AP17" sqref="AP17:AP35"/>
    </sheetView>
  </sheetViews>
  <sheetFormatPr defaultRowHeight="14.5" x14ac:dyDescent="0.35"/>
  <cols>
    <col min="2" max="2" width="11.6328125" customWidth="1"/>
    <col min="3" max="3" width="13.90625" bestFit="1" customWidth="1"/>
    <col min="4" max="4" width="21.08984375" bestFit="1" customWidth="1"/>
    <col min="5" max="5" width="16.453125" bestFit="1" customWidth="1"/>
    <col min="6" max="6" width="19" bestFit="1" customWidth="1"/>
    <col min="8" max="8" width="18.6328125" bestFit="1" customWidth="1"/>
    <col min="9" max="9" width="21.08984375" bestFit="1" customWidth="1"/>
    <col min="10" max="10" width="15" bestFit="1" customWidth="1"/>
    <col min="11" max="11" width="20.6328125" customWidth="1"/>
    <col min="12" max="12" width="18.453125" bestFit="1" customWidth="1"/>
    <col min="13" max="13" width="16.36328125" bestFit="1" customWidth="1"/>
    <col min="14" max="14" width="15.08984375" bestFit="1" customWidth="1"/>
    <col min="15" max="15" width="15.453125" bestFit="1" customWidth="1"/>
    <col min="16" max="16" width="13.36328125" customWidth="1"/>
    <col min="17" max="17" width="16.36328125" customWidth="1"/>
    <col min="18" max="18" width="14.36328125" customWidth="1"/>
    <col min="19" max="19" width="9" customWidth="1"/>
    <col min="20" max="20" width="27" customWidth="1"/>
    <col min="21" max="21" width="13.6328125" customWidth="1"/>
    <col min="22" max="22" width="13.36328125" customWidth="1"/>
    <col min="24" max="24" width="12.08984375" customWidth="1"/>
    <col min="25" max="25" width="12.6328125" customWidth="1"/>
    <col min="27" max="27" width="12.08984375" customWidth="1"/>
    <col min="28" max="28" width="12.54296875" customWidth="1"/>
    <col min="29" max="29" width="18.90625" customWidth="1"/>
  </cols>
  <sheetData>
    <row r="1" spans="1:43" s="5" customFormat="1" ht="26.75" customHeight="1" x14ac:dyDescent="0.3">
      <c r="A1" s="17" t="s">
        <v>125</v>
      </c>
    </row>
    <row r="2" spans="1:43" s="5" customFormat="1" ht="12.5" x14ac:dyDescent="0.25"/>
    <row r="3" spans="1:43" s="5" customFormat="1" ht="12.5" x14ac:dyDescent="0.25">
      <c r="A3" s="101" t="s">
        <v>0</v>
      </c>
      <c r="B3" s="101" t="s">
        <v>1</v>
      </c>
      <c r="C3" s="101" t="s">
        <v>2</v>
      </c>
      <c r="D3" s="101" t="s">
        <v>126</v>
      </c>
      <c r="E3" s="101" t="s">
        <v>3</v>
      </c>
      <c r="F3" s="109" t="s">
        <v>4</v>
      </c>
      <c r="G3" s="101" t="s">
        <v>5</v>
      </c>
      <c r="H3" s="101" t="s">
        <v>6</v>
      </c>
      <c r="I3" s="109" t="s">
        <v>7</v>
      </c>
      <c r="J3" s="101" t="s">
        <v>8</v>
      </c>
      <c r="K3" s="101" t="s">
        <v>127</v>
      </c>
      <c r="L3" s="101" t="s">
        <v>128</v>
      </c>
      <c r="M3" s="101" t="s">
        <v>9</v>
      </c>
      <c r="N3" s="101" t="s">
        <v>10</v>
      </c>
      <c r="O3" s="101" t="s">
        <v>11</v>
      </c>
      <c r="P3" s="101" t="s">
        <v>12</v>
      </c>
      <c r="Q3" s="101" t="s">
        <v>129</v>
      </c>
      <c r="R3" s="101" t="s">
        <v>130</v>
      </c>
      <c r="S3" s="101" t="s">
        <v>13</v>
      </c>
      <c r="T3" s="101" t="s">
        <v>14</v>
      </c>
      <c r="U3" s="101" t="s">
        <v>131</v>
      </c>
      <c r="V3" s="101" t="s">
        <v>15</v>
      </c>
      <c r="W3" s="101" t="s">
        <v>16</v>
      </c>
      <c r="X3" s="101" t="s">
        <v>17</v>
      </c>
      <c r="Y3" s="101" t="s">
        <v>18</v>
      </c>
      <c r="Z3" s="101" t="s">
        <v>19</v>
      </c>
      <c r="AA3" s="101" t="s">
        <v>20</v>
      </c>
      <c r="AB3" s="110" t="s">
        <v>132</v>
      </c>
      <c r="AC3" s="110" t="s">
        <v>21</v>
      </c>
      <c r="AD3" s="112" t="s">
        <v>114</v>
      </c>
      <c r="AE3" s="111" t="s">
        <v>116</v>
      </c>
      <c r="AF3" s="111" t="s">
        <v>117</v>
      </c>
      <c r="AG3" s="111" t="s">
        <v>118</v>
      </c>
      <c r="AH3" s="111" t="s">
        <v>119</v>
      </c>
      <c r="AI3" s="111" t="s">
        <v>120</v>
      </c>
      <c r="AJ3" s="111" t="s">
        <v>139</v>
      </c>
      <c r="AK3" s="111" t="s">
        <v>121</v>
      </c>
      <c r="AL3" s="111" t="s">
        <v>140</v>
      </c>
      <c r="AM3" s="111" t="s">
        <v>141</v>
      </c>
      <c r="AN3" s="111" t="s">
        <v>142</v>
      </c>
      <c r="AO3" s="116" t="s">
        <v>143</v>
      </c>
      <c r="AP3" s="117">
        <v>46174</v>
      </c>
      <c r="AQ3" s="114" t="s">
        <v>115</v>
      </c>
    </row>
    <row r="4" spans="1:43" s="5" customFormat="1" ht="62.4" customHeight="1" x14ac:dyDescent="0.25">
      <c r="A4" s="101"/>
      <c r="B4" s="101"/>
      <c r="C4" s="101"/>
      <c r="D4" s="101"/>
      <c r="E4" s="101"/>
      <c r="F4" s="109"/>
      <c r="G4" s="101"/>
      <c r="H4" s="101"/>
      <c r="I4" s="109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10"/>
      <c r="AC4" s="110"/>
      <c r="AD4" s="112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4"/>
      <c r="AP4" s="114"/>
      <c r="AQ4" s="114"/>
    </row>
    <row r="5" spans="1:43" s="19" customFormat="1" ht="34.5" x14ac:dyDescent="0.25">
      <c r="A5" s="22" t="s">
        <v>133</v>
      </c>
      <c r="B5" s="23" t="s">
        <v>23</v>
      </c>
      <c r="C5" s="23" t="s">
        <v>134</v>
      </c>
      <c r="D5" s="23" t="s">
        <v>135</v>
      </c>
      <c r="E5" s="23" t="s">
        <v>67</v>
      </c>
      <c r="F5" s="23" t="s">
        <v>66</v>
      </c>
      <c r="G5" s="23" t="s">
        <v>23</v>
      </c>
      <c r="H5" s="23" t="s">
        <v>85</v>
      </c>
      <c r="I5" s="23" t="s">
        <v>86</v>
      </c>
      <c r="J5" s="23" t="s">
        <v>86</v>
      </c>
      <c r="K5" s="23" t="s">
        <v>136</v>
      </c>
      <c r="L5" s="23" t="s">
        <v>137</v>
      </c>
      <c r="M5" s="23" t="s">
        <v>70</v>
      </c>
      <c r="N5" s="23" t="s">
        <v>29</v>
      </c>
      <c r="O5" s="23" t="s">
        <v>30</v>
      </c>
      <c r="P5" s="23"/>
      <c r="Q5" s="23"/>
      <c r="R5" s="23"/>
      <c r="S5" s="23" t="s">
        <v>67</v>
      </c>
      <c r="T5" s="24" t="s">
        <v>133</v>
      </c>
      <c r="U5" s="25"/>
      <c r="V5" s="25">
        <v>1110</v>
      </c>
      <c r="W5" s="25"/>
      <c r="X5" s="25">
        <v>0</v>
      </c>
      <c r="Y5" s="25">
        <v>1400</v>
      </c>
      <c r="Z5" s="25">
        <v>2510</v>
      </c>
      <c r="AA5" s="26" t="s">
        <v>133</v>
      </c>
      <c r="AB5" s="27" t="s">
        <v>133</v>
      </c>
      <c r="AC5" s="28"/>
      <c r="AD5" s="29"/>
      <c r="AE5" s="30"/>
      <c r="AF5" s="30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</row>
    <row r="6" spans="1:43" s="5" customFormat="1" ht="12.5" x14ac:dyDescent="0.25">
      <c r="A6" s="20" t="s">
        <v>138</v>
      </c>
      <c r="B6" s="20"/>
      <c r="C6" s="20"/>
      <c r="D6" s="20"/>
      <c r="E6" s="20"/>
      <c r="F6" s="21"/>
    </row>
    <row r="7" spans="1:43" s="5" customFormat="1" ht="12.5" x14ac:dyDescent="0.25">
      <c r="A7" s="18"/>
      <c r="B7" s="18"/>
      <c r="C7" s="18"/>
      <c r="D7" s="18"/>
      <c r="E7" s="18"/>
    </row>
    <row r="8" spans="1:43" s="5" customFormat="1" ht="12.5" x14ac:dyDescent="0.25">
      <c r="A8" s="18"/>
      <c r="B8" s="18"/>
      <c r="C8" s="18"/>
      <c r="D8" s="18"/>
      <c r="E8" s="18"/>
    </row>
    <row r="9" spans="1:43" s="5" customFormat="1" ht="12.5" x14ac:dyDescent="0.25"/>
    <row r="10" spans="1:43" s="5" customFormat="1" ht="13" x14ac:dyDescent="0.3">
      <c r="A10" s="17" t="s">
        <v>125</v>
      </c>
    </row>
    <row r="11" spans="1:43" s="5" customFormat="1" ht="12.5" x14ac:dyDescent="0.25"/>
    <row r="12" spans="1:43" s="5" customFormat="1" ht="12.5" x14ac:dyDescent="0.25">
      <c r="A12" s="101" t="s">
        <v>0</v>
      </c>
      <c r="B12" s="101" t="s">
        <v>1</v>
      </c>
      <c r="C12" s="101" t="s">
        <v>2</v>
      </c>
      <c r="D12" s="101" t="s">
        <v>126</v>
      </c>
      <c r="E12" s="101" t="s">
        <v>3</v>
      </c>
      <c r="F12" s="109" t="s">
        <v>4</v>
      </c>
      <c r="G12" s="101" t="s">
        <v>5</v>
      </c>
      <c r="H12" s="101" t="s">
        <v>6</v>
      </c>
      <c r="I12" s="109" t="s">
        <v>7</v>
      </c>
      <c r="J12" s="101" t="s">
        <v>8</v>
      </c>
      <c r="K12" s="101" t="s">
        <v>127</v>
      </c>
      <c r="L12" s="101" t="s">
        <v>128</v>
      </c>
      <c r="M12" s="101" t="s">
        <v>9</v>
      </c>
      <c r="N12" s="101" t="s">
        <v>10</v>
      </c>
      <c r="O12" s="101" t="s">
        <v>11</v>
      </c>
      <c r="P12" s="101" t="s">
        <v>12</v>
      </c>
      <c r="Q12" s="101" t="s">
        <v>129</v>
      </c>
      <c r="R12" s="101" t="s">
        <v>130</v>
      </c>
      <c r="S12" s="101" t="s">
        <v>13</v>
      </c>
      <c r="T12" s="101" t="s">
        <v>14</v>
      </c>
      <c r="U12" s="101" t="s">
        <v>131</v>
      </c>
      <c r="V12" s="101" t="s">
        <v>15</v>
      </c>
      <c r="W12" s="101" t="s">
        <v>16</v>
      </c>
      <c r="X12" s="101" t="s">
        <v>17</v>
      </c>
      <c r="Y12" s="101" t="s">
        <v>18</v>
      </c>
      <c r="Z12" s="101" t="s">
        <v>19</v>
      </c>
      <c r="AA12" s="101" t="s">
        <v>20</v>
      </c>
      <c r="AB12" s="110" t="s">
        <v>132</v>
      </c>
      <c r="AC12" s="110" t="s">
        <v>21</v>
      </c>
      <c r="AD12" s="113" t="s">
        <v>114</v>
      </c>
      <c r="AE12" s="115" t="s">
        <v>116</v>
      </c>
      <c r="AF12" s="115" t="s">
        <v>117</v>
      </c>
      <c r="AG12" s="106" t="s">
        <v>118</v>
      </c>
      <c r="AH12" s="106" t="s">
        <v>119</v>
      </c>
      <c r="AI12" s="106" t="s">
        <v>120</v>
      </c>
      <c r="AJ12" s="106" t="s">
        <v>139</v>
      </c>
      <c r="AK12" s="106" t="s">
        <v>121</v>
      </c>
      <c r="AL12" s="106" t="s">
        <v>140</v>
      </c>
      <c r="AM12" s="106" t="s">
        <v>141</v>
      </c>
      <c r="AN12" s="106" t="s">
        <v>142</v>
      </c>
      <c r="AO12" s="106" t="s">
        <v>143</v>
      </c>
      <c r="AP12" s="106" t="s">
        <v>144</v>
      </c>
      <c r="AQ12" s="102" t="s">
        <v>115</v>
      </c>
    </row>
    <row r="13" spans="1:43" s="5" customFormat="1" ht="12.5" x14ac:dyDescent="0.25">
      <c r="A13" s="101"/>
      <c r="B13" s="101"/>
      <c r="C13" s="101"/>
      <c r="D13" s="101"/>
      <c r="E13" s="101"/>
      <c r="F13" s="109"/>
      <c r="G13" s="101"/>
      <c r="H13" s="101"/>
      <c r="I13" s="109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10"/>
      <c r="AC13" s="110"/>
      <c r="AD13" s="113"/>
      <c r="AE13" s="115"/>
      <c r="AF13" s="115"/>
      <c r="AG13" s="106"/>
      <c r="AH13" s="106"/>
      <c r="AI13" s="106"/>
      <c r="AJ13" s="106"/>
      <c r="AK13" s="106"/>
      <c r="AL13" s="106"/>
      <c r="AM13" s="106"/>
      <c r="AN13" s="106"/>
      <c r="AO13" s="102"/>
      <c r="AP13" s="102"/>
      <c r="AQ13" s="102"/>
    </row>
    <row r="14" spans="1:43" s="19" customFormat="1" ht="34.5" x14ac:dyDescent="0.25">
      <c r="A14" s="22" t="s">
        <v>133</v>
      </c>
      <c r="B14" s="23" t="s">
        <v>23</v>
      </c>
      <c r="C14" s="23" t="s">
        <v>134</v>
      </c>
      <c r="D14" s="23" t="s">
        <v>135</v>
      </c>
      <c r="E14" s="23" t="s">
        <v>67</v>
      </c>
      <c r="F14" s="23" t="s">
        <v>66</v>
      </c>
      <c r="G14" s="23" t="s">
        <v>23</v>
      </c>
      <c r="H14" s="32" t="s">
        <v>93</v>
      </c>
      <c r="I14" s="32" t="s">
        <v>169</v>
      </c>
      <c r="J14" s="32" t="s">
        <v>169</v>
      </c>
      <c r="K14" s="23" t="s">
        <v>136</v>
      </c>
      <c r="L14" s="23" t="s">
        <v>137</v>
      </c>
      <c r="M14" s="23" t="s">
        <v>70</v>
      </c>
      <c r="N14" s="23" t="s">
        <v>29</v>
      </c>
      <c r="O14" s="23" t="s">
        <v>30</v>
      </c>
      <c r="P14" s="33"/>
      <c r="Q14" s="33"/>
      <c r="R14" s="33"/>
      <c r="S14" s="23" t="s">
        <v>67</v>
      </c>
      <c r="T14" s="24" t="s">
        <v>133</v>
      </c>
      <c r="U14" s="34"/>
      <c r="V14" s="34">
        <v>1150</v>
      </c>
      <c r="W14" s="34"/>
      <c r="X14" s="34"/>
      <c r="Y14" s="34"/>
      <c r="Z14" s="35">
        <v>2670</v>
      </c>
      <c r="AA14" s="36"/>
      <c r="AB14" s="37"/>
      <c r="AC14" s="31"/>
      <c r="AD14" s="31"/>
      <c r="AE14" s="30">
        <v>7</v>
      </c>
      <c r="AF14" s="31"/>
      <c r="AG14" s="31"/>
      <c r="AH14" s="38"/>
      <c r="AI14" s="38">
        <v>2</v>
      </c>
      <c r="AJ14" s="39"/>
      <c r="AK14" s="31"/>
      <c r="AL14" s="31">
        <v>1</v>
      </c>
      <c r="AM14" s="31">
        <v>7</v>
      </c>
      <c r="AN14" s="31"/>
      <c r="AO14" s="30"/>
      <c r="AP14" s="31"/>
      <c r="AQ14" s="31"/>
    </row>
    <row r="15" spans="1:43" s="19" customFormat="1" ht="34.5" x14ac:dyDescent="0.25">
      <c r="A15" s="22" t="s">
        <v>133</v>
      </c>
      <c r="B15" s="23" t="s">
        <v>23</v>
      </c>
      <c r="C15" s="23" t="s">
        <v>134</v>
      </c>
      <c r="D15" s="23" t="s">
        <v>135</v>
      </c>
      <c r="E15" s="23" t="s">
        <v>67</v>
      </c>
      <c r="F15" s="23" t="s">
        <v>66</v>
      </c>
      <c r="G15" s="23" t="s">
        <v>23</v>
      </c>
      <c r="H15" s="38" t="s">
        <v>54</v>
      </c>
      <c r="I15" s="32" t="s">
        <v>170</v>
      </c>
      <c r="J15" s="38" t="s">
        <v>54</v>
      </c>
      <c r="K15" s="23" t="s">
        <v>136</v>
      </c>
      <c r="L15" s="23" t="s">
        <v>137</v>
      </c>
      <c r="M15" s="23" t="s">
        <v>70</v>
      </c>
      <c r="N15" s="23" t="s">
        <v>29</v>
      </c>
      <c r="O15" s="23" t="s">
        <v>30</v>
      </c>
      <c r="P15" s="40"/>
      <c r="Q15" s="40"/>
      <c r="R15" s="40"/>
      <c r="S15" s="23" t="s">
        <v>67</v>
      </c>
      <c r="T15" s="24" t="s">
        <v>133</v>
      </c>
      <c r="U15" s="41"/>
      <c r="V15" s="41">
        <v>30</v>
      </c>
      <c r="W15" s="41"/>
      <c r="X15" s="41"/>
      <c r="Y15" s="41"/>
      <c r="Z15" s="42">
        <v>1850</v>
      </c>
      <c r="AA15" s="43"/>
      <c r="AB15" s="44"/>
      <c r="AC15" s="45"/>
      <c r="AD15" s="31"/>
      <c r="AE15" s="31"/>
      <c r="AF15" s="30">
        <v>6</v>
      </c>
      <c r="AG15" s="31">
        <v>2</v>
      </c>
      <c r="AH15" s="31"/>
      <c r="AI15" s="31"/>
      <c r="AJ15" s="31"/>
      <c r="AK15" s="38"/>
      <c r="AL15" s="38"/>
      <c r="AM15" s="38"/>
      <c r="AN15" s="31"/>
      <c r="AO15" s="30"/>
      <c r="AP15" s="31"/>
      <c r="AQ15" s="31"/>
    </row>
    <row r="16" spans="1:43" ht="34.5" x14ac:dyDescent="0.35">
      <c r="A16" s="22" t="s">
        <v>133</v>
      </c>
      <c r="B16" s="23" t="s">
        <v>23</v>
      </c>
      <c r="C16" s="23" t="s">
        <v>134</v>
      </c>
      <c r="D16" s="23" t="s">
        <v>135</v>
      </c>
      <c r="E16" s="23" t="s">
        <v>67</v>
      </c>
      <c r="F16" s="23" t="s">
        <v>66</v>
      </c>
      <c r="G16" s="23" t="s">
        <v>23</v>
      </c>
      <c r="H16" s="38" t="s">
        <v>54</v>
      </c>
      <c r="I16" s="32" t="s">
        <v>170</v>
      </c>
      <c r="J16" s="38" t="s">
        <v>54</v>
      </c>
      <c r="K16" s="23" t="s">
        <v>136</v>
      </c>
      <c r="L16" s="23" t="s">
        <v>137</v>
      </c>
      <c r="M16" s="23" t="s">
        <v>70</v>
      </c>
      <c r="N16" s="23" t="s">
        <v>29</v>
      </c>
      <c r="O16" s="23" t="s">
        <v>30</v>
      </c>
      <c r="P16" s="16"/>
      <c r="Q16" s="16"/>
      <c r="R16" s="16"/>
      <c r="S16" s="23" t="s">
        <v>67</v>
      </c>
      <c r="T16" s="24" t="s">
        <v>133</v>
      </c>
      <c r="U16" s="16"/>
      <c r="V16" s="41">
        <v>30</v>
      </c>
      <c r="W16" s="16"/>
      <c r="X16" s="16"/>
      <c r="Y16" s="16"/>
      <c r="Z16" s="98">
        <v>1700</v>
      </c>
      <c r="AA16" s="16"/>
      <c r="AB16" s="16"/>
      <c r="AC16" s="16"/>
      <c r="AD16" s="16"/>
      <c r="AE16" s="16"/>
      <c r="AF16" s="98">
        <v>1</v>
      </c>
      <c r="AG16" s="16">
        <v>3</v>
      </c>
      <c r="AH16" s="16"/>
      <c r="AI16" s="16"/>
      <c r="AJ16" s="16"/>
      <c r="AK16" s="16"/>
      <c r="AL16" s="16"/>
      <c r="AM16" s="16"/>
      <c r="AN16" s="16"/>
      <c r="AO16" s="16"/>
      <c r="AP16" s="16"/>
      <c r="AQ16" s="16"/>
    </row>
    <row r="17" spans="1:43" ht="34.5" x14ac:dyDescent="0.35">
      <c r="A17" s="22" t="s">
        <v>133</v>
      </c>
      <c r="B17" s="23" t="s">
        <v>23</v>
      </c>
      <c r="C17" s="23" t="s">
        <v>134</v>
      </c>
      <c r="D17" s="23" t="s">
        <v>135</v>
      </c>
      <c r="E17" s="23" t="s">
        <v>67</v>
      </c>
      <c r="F17" s="23" t="s">
        <v>66</v>
      </c>
      <c r="G17" s="23" t="s">
        <v>23</v>
      </c>
      <c r="H17" s="98" t="s">
        <v>171</v>
      </c>
      <c r="I17" s="98" t="s">
        <v>93</v>
      </c>
      <c r="J17" s="98" t="s">
        <v>171</v>
      </c>
      <c r="K17" s="23" t="s">
        <v>136</v>
      </c>
      <c r="L17" s="23" t="s">
        <v>137</v>
      </c>
      <c r="M17" s="23" t="s">
        <v>172</v>
      </c>
      <c r="N17" s="23" t="s">
        <v>29</v>
      </c>
      <c r="O17" s="23" t="s">
        <v>30</v>
      </c>
      <c r="P17" s="16"/>
      <c r="Q17" s="16"/>
      <c r="R17" s="16"/>
      <c r="S17" s="23" t="s">
        <v>67</v>
      </c>
      <c r="T17" s="24" t="s">
        <v>133</v>
      </c>
      <c r="U17" s="16"/>
      <c r="V17" s="41">
        <v>810</v>
      </c>
      <c r="W17" s="16"/>
      <c r="X17" s="16"/>
      <c r="Y17" s="16"/>
      <c r="Z17" s="16">
        <v>2095</v>
      </c>
      <c r="AA17" s="16"/>
      <c r="AB17" s="16"/>
      <c r="AC17" s="16"/>
      <c r="AD17" s="16"/>
      <c r="AE17" s="16"/>
      <c r="AF17" s="16"/>
      <c r="AG17" s="16">
        <v>2</v>
      </c>
      <c r="AH17" s="16"/>
      <c r="AI17" s="16"/>
      <c r="AJ17" s="16"/>
      <c r="AK17" s="16"/>
      <c r="AL17" s="16"/>
      <c r="AM17" s="16"/>
      <c r="AN17" s="16"/>
      <c r="AO17" s="16"/>
      <c r="AP17" s="16">
        <v>32</v>
      </c>
      <c r="AQ17" s="16"/>
    </row>
    <row r="18" spans="1:43" ht="34.5" x14ac:dyDescent="0.35">
      <c r="A18" s="22" t="s">
        <v>133</v>
      </c>
      <c r="B18" s="23" t="s">
        <v>23</v>
      </c>
      <c r="C18" s="23" t="s">
        <v>134</v>
      </c>
      <c r="D18" s="23" t="s">
        <v>135</v>
      </c>
      <c r="E18" s="23" t="s">
        <v>67</v>
      </c>
      <c r="F18" s="23" t="s">
        <v>66</v>
      </c>
      <c r="G18" s="23" t="s">
        <v>23</v>
      </c>
      <c r="H18" s="38" t="s">
        <v>54</v>
      </c>
      <c r="I18" s="32" t="s">
        <v>170</v>
      </c>
      <c r="J18" s="38" t="s">
        <v>54</v>
      </c>
      <c r="K18" s="23" t="s">
        <v>136</v>
      </c>
      <c r="L18" s="23" t="s">
        <v>137</v>
      </c>
      <c r="M18" s="23" t="s">
        <v>70</v>
      </c>
      <c r="N18" s="23" t="s">
        <v>29</v>
      </c>
      <c r="O18" s="23" t="s">
        <v>30</v>
      </c>
      <c r="P18" s="16"/>
      <c r="Q18" s="16"/>
      <c r="R18" s="16"/>
      <c r="S18" s="23" t="s">
        <v>67</v>
      </c>
      <c r="T18" s="24" t="s">
        <v>133</v>
      </c>
      <c r="U18" s="16"/>
      <c r="V18" s="41">
        <v>30</v>
      </c>
      <c r="W18" s="16"/>
      <c r="X18" s="16"/>
      <c r="Y18" s="16"/>
      <c r="Z18" s="98">
        <v>1660</v>
      </c>
      <c r="AA18" s="16"/>
      <c r="AB18" s="16"/>
      <c r="AC18" s="16"/>
      <c r="AD18" s="16"/>
      <c r="AE18" s="16"/>
      <c r="AF18" s="98"/>
      <c r="AG18" s="16"/>
      <c r="AH18" s="16">
        <v>1</v>
      </c>
      <c r="AI18" s="16"/>
      <c r="AJ18" s="16"/>
      <c r="AK18" s="16"/>
      <c r="AL18" s="16"/>
      <c r="AM18" s="16"/>
      <c r="AN18" s="16"/>
      <c r="AO18" s="16"/>
      <c r="AP18" s="16"/>
      <c r="AQ18" s="16"/>
    </row>
    <row r="19" spans="1:43" ht="34.5" x14ac:dyDescent="0.35">
      <c r="A19" s="22" t="s">
        <v>133</v>
      </c>
      <c r="B19" s="23" t="s">
        <v>23</v>
      </c>
      <c r="C19" s="23" t="s">
        <v>134</v>
      </c>
      <c r="D19" s="23" t="s">
        <v>135</v>
      </c>
      <c r="E19" s="23" t="s">
        <v>67</v>
      </c>
      <c r="F19" s="23" t="s">
        <v>66</v>
      </c>
      <c r="G19" s="23" t="s">
        <v>23</v>
      </c>
      <c r="H19" s="38" t="s">
        <v>54</v>
      </c>
      <c r="I19" s="32" t="s">
        <v>170</v>
      </c>
      <c r="J19" s="38" t="s">
        <v>54</v>
      </c>
      <c r="K19" s="23" t="s">
        <v>136</v>
      </c>
      <c r="L19" s="23" t="s">
        <v>137</v>
      </c>
      <c r="M19" s="23" t="s">
        <v>70</v>
      </c>
      <c r="N19" s="23" t="s">
        <v>29</v>
      </c>
      <c r="O19" s="23" t="s">
        <v>30</v>
      </c>
      <c r="P19" s="16"/>
      <c r="Q19" s="16"/>
      <c r="R19" s="16"/>
      <c r="S19" s="23" t="s">
        <v>67</v>
      </c>
      <c r="T19" s="24" t="s">
        <v>133</v>
      </c>
      <c r="U19" s="16"/>
      <c r="V19" s="41">
        <v>30</v>
      </c>
      <c r="W19" s="16"/>
      <c r="X19" s="16"/>
      <c r="Y19" s="16"/>
      <c r="Z19" s="16">
        <v>1810</v>
      </c>
      <c r="AA19" s="16"/>
      <c r="AB19" s="16"/>
      <c r="AC19" s="16"/>
      <c r="AD19" s="16"/>
      <c r="AE19" s="16"/>
      <c r="AF19" s="16"/>
      <c r="AG19" s="16"/>
      <c r="AH19" s="16">
        <v>4</v>
      </c>
      <c r="AI19" s="16">
        <v>4</v>
      </c>
      <c r="AJ19" s="16">
        <v>2</v>
      </c>
      <c r="AK19" s="16">
        <v>2</v>
      </c>
      <c r="AL19" s="16"/>
      <c r="AM19" s="16"/>
      <c r="AN19" s="16"/>
      <c r="AO19" s="16"/>
      <c r="AP19" s="16"/>
      <c r="AQ19" s="16"/>
    </row>
    <row r="20" spans="1:43" ht="34.5" x14ac:dyDescent="0.35">
      <c r="A20" s="22" t="s">
        <v>133</v>
      </c>
      <c r="B20" s="23" t="s">
        <v>23</v>
      </c>
      <c r="C20" s="23" t="s">
        <v>134</v>
      </c>
      <c r="D20" s="23" t="s">
        <v>135</v>
      </c>
      <c r="E20" s="23" t="s">
        <v>67</v>
      </c>
      <c r="F20" s="23" t="s">
        <v>66</v>
      </c>
      <c r="G20" s="23" t="s">
        <v>23</v>
      </c>
      <c r="H20" s="38" t="s">
        <v>54</v>
      </c>
      <c r="I20" s="32" t="s">
        <v>170</v>
      </c>
      <c r="J20" s="38" t="s">
        <v>54</v>
      </c>
      <c r="K20" s="23" t="s">
        <v>136</v>
      </c>
      <c r="L20" s="23" t="s">
        <v>137</v>
      </c>
      <c r="M20" s="23" t="s">
        <v>70</v>
      </c>
      <c r="N20" s="23" t="s">
        <v>29</v>
      </c>
      <c r="O20" s="23" t="s">
        <v>30</v>
      </c>
      <c r="P20" s="16"/>
      <c r="Q20" s="16"/>
      <c r="R20" s="16"/>
      <c r="S20" s="23" t="s">
        <v>67</v>
      </c>
      <c r="T20" s="24" t="s">
        <v>133</v>
      </c>
      <c r="U20" s="16"/>
      <c r="V20" s="41">
        <v>30</v>
      </c>
      <c r="W20" s="16"/>
      <c r="X20" s="16"/>
      <c r="Y20" s="16"/>
      <c r="Z20" s="16">
        <v>1910</v>
      </c>
      <c r="AA20" s="16"/>
      <c r="AB20" s="16"/>
      <c r="AC20" s="16"/>
      <c r="AD20" s="16"/>
      <c r="AE20" s="16"/>
      <c r="AF20" s="16"/>
      <c r="AG20" s="16"/>
      <c r="AH20" s="16">
        <v>2</v>
      </c>
      <c r="AI20" s="16"/>
      <c r="AJ20" s="16"/>
      <c r="AK20" s="16"/>
      <c r="AL20" s="16"/>
      <c r="AM20" s="16"/>
      <c r="AN20" s="16"/>
      <c r="AO20" s="16"/>
      <c r="AP20" s="16"/>
      <c r="AQ20" s="16"/>
    </row>
    <row r="21" spans="1:43" ht="34.5" x14ac:dyDescent="0.35">
      <c r="A21" s="22" t="s">
        <v>133</v>
      </c>
      <c r="B21" s="23" t="s">
        <v>23</v>
      </c>
      <c r="C21" s="23" t="s">
        <v>134</v>
      </c>
      <c r="D21" s="23" t="s">
        <v>135</v>
      </c>
      <c r="E21" s="23" t="s">
        <v>67</v>
      </c>
      <c r="F21" s="23" t="s">
        <v>66</v>
      </c>
      <c r="G21" s="23" t="s">
        <v>23</v>
      </c>
      <c r="H21" s="98" t="s">
        <v>26</v>
      </c>
      <c r="I21" s="98" t="s">
        <v>173</v>
      </c>
      <c r="J21" s="98" t="s">
        <v>26</v>
      </c>
      <c r="K21" s="23" t="s">
        <v>136</v>
      </c>
      <c r="L21" s="23" t="s">
        <v>137</v>
      </c>
      <c r="M21" s="23" t="s">
        <v>172</v>
      </c>
      <c r="N21" s="23" t="s">
        <v>29</v>
      </c>
      <c r="O21" s="23" t="s">
        <v>30</v>
      </c>
      <c r="P21" s="16"/>
      <c r="Q21" s="16"/>
      <c r="R21" s="16"/>
      <c r="S21" s="23" t="s">
        <v>67</v>
      </c>
      <c r="T21" s="24" t="s">
        <v>133</v>
      </c>
      <c r="U21" s="16"/>
      <c r="V21" s="16">
        <v>300</v>
      </c>
      <c r="W21" s="16"/>
      <c r="X21" s="16"/>
      <c r="Y21" s="16"/>
      <c r="Z21" s="16">
        <v>1300</v>
      </c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>
        <v>6</v>
      </c>
      <c r="AL21" s="16"/>
      <c r="AM21" s="16"/>
      <c r="AN21" s="16"/>
      <c r="AO21" s="16"/>
      <c r="AP21" s="16">
        <v>4</v>
      </c>
      <c r="AQ21" s="16"/>
    </row>
    <row r="22" spans="1:43" ht="34.5" x14ac:dyDescent="0.35">
      <c r="A22" s="22" t="s">
        <v>133</v>
      </c>
      <c r="B22" s="23" t="s">
        <v>23</v>
      </c>
      <c r="C22" s="23" t="s">
        <v>134</v>
      </c>
      <c r="D22" s="23" t="s">
        <v>135</v>
      </c>
      <c r="E22" s="23" t="s">
        <v>67</v>
      </c>
      <c r="F22" s="23" t="s">
        <v>66</v>
      </c>
      <c r="G22" s="23" t="s">
        <v>23</v>
      </c>
      <c r="H22" s="38" t="s">
        <v>54</v>
      </c>
      <c r="I22" s="32" t="s">
        <v>170</v>
      </c>
      <c r="J22" s="38" t="s">
        <v>54</v>
      </c>
      <c r="K22" s="23" t="s">
        <v>136</v>
      </c>
      <c r="L22" s="23" t="s">
        <v>137</v>
      </c>
      <c r="M22" s="23" t="s">
        <v>70</v>
      </c>
      <c r="N22" s="23" t="s">
        <v>29</v>
      </c>
      <c r="O22" s="23" t="s">
        <v>30</v>
      </c>
      <c r="P22" s="16"/>
      <c r="Q22" s="16"/>
      <c r="R22" s="16"/>
      <c r="S22" s="23" t="s">
        <v>67</v>
      </c>
      <c r="T22" s="24" t="s">
        <v>133</v>
      </c>
      <c r="U22" s="16"/>
      <c r="V22" s="16">
        <v>30</v>
      </c>
      <c r="W22" s="16"/>
      <c r="X22" s="16"/>
      <c r="Y22" s="16"/>
      <c r="Z22" s="16">
        <v>2250</v>
      </c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>
        <v>2</v>
      </c>
      <c r="AL22" s="16">
        <v>4</v>
      </c>
      <c r="AM22" s="16">
        <v>4</v>
      </c>
      <c r="AN22" s="16">
        <v>10</v>
      </c>
      <c r="AO22" s="16"/>
      <c r="AP22" s="16"/>
      <c r="AQ22" s="16"/>
    </row>
    <row r="23" spans="1:43" ht="34.5" x14ac:dyDescent="0.35">
      <c r="A23" s="22" t="s">
        <v>133</v>
      </c>
      <c r="B23" s="23" t="s">
        <v>23</v>
      </c>
      <c r="C23" s="23" t="s">
        <v>134</v>
      </c>
      <c r="D23" s="23" t="s">
        <v>135</v>
      </c>
      <c r="E23" s="23" t="s">
        <v>67</v>
      </c>
      <c r="F23" s="23" t="s">
        <v>66</v>
      </c>
      <c r="G23" s="23" t="s">
        <v>23</v>
      </c>
      <c r="H23" s="38" t="s">
        <v>54</v>
      </c>
      <c r="I23" s="32" t="s">
        <v>170</v>
      </c>
      <c r="J23" s="38" t="s">
        <v>54</v>
      </c>
      <c r="K23" s="23" t="s">
        <v>136</v>
      </c>
      <c r="L23" s="23" t="s">
        <v>137</v>
      </c>
      <c r="M23" s="23" t="s">
        <v>70</v>
      </c>
      <c r="N23" s="23" t="s">
        <v>29</v>
      </c>
      <c r="O23" s="23" t="s">
        <v>30</v>
      </c>
      <c r="P23" s="16"/>
      <c r="Q23" s="16"/>
      <c r="R23" s="16"/>
      <c r="S23" s="23" t="s">
        <v>67</v>
      </c>
      <c r="T23" s="24" t="s">
        <v>133</v>
      </c>
      <c r="U23" s="16"/>
      <c r="V23" s="16">
        <v>30</v>
      </c>
      <c r="W23" s="16"/>
      <c r="X23" s="16"/>
      <c r="Y23" s="16"/>
      <c r="Z23" s="16">
        <v>2100</v>
      </c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>
        <v>3</v>
      </c>
      <c r="AL23" s="16"/>
      <c r="AM23" s="16">
        <v>1</v>
      </c>
      <c r="AN23" s="16">
        <v>1</v>
      </c>
      <c r="AO23" s="16"/>
      <c r="AP23" s="16"/>
      <c r="AQ23" s="16"/>
    </row>
    <row r="24" spans="1:43" ht="34.5" x14ac:dyDescent="0.35">
      <c r="A24" s="22" t="s">
        <v>133</v>
      </c>
      <c r="B24" s="23" t="s">
        <v>23</v>
      </c>
      <c r="C24" s="23" t="s">
        <v>134</v>
      </c>
      <c r="D24" s="23" t="s">
        <v>135</v>
      </c>
      <c r="E24" s="23" t="s">
        <v>67</v>
      </c>
      <c r="F24" s="23" t="s">
        <v>66</v>
      </c>
      <c r="G24" s="23" t="s">
        <v>23</v>
      </c>
      <c r="H24" s="98" t="s">
        <v>26</v>
      </c>
      <c r="I24" s="98" t="s">
        <v>174</v>
      </c>
      <c r="J24" s="98" t="s">
        <v>26</v>
      </c>
      <c r="K24" s="23" t="s">
        <v>136</v>
      </c>
      <c r="L24" s="23" t="s">
        <v>137</v>
      </c>
      <c r="M24" s="16" t="s">
        <v>175</v>
      </c>
      <c r="N24" s="23" t="s">
        <v>29</v>
      </c>
      <c r="O24" s="23" t="s">
        <v>30</v>
      </c>
      <c r="P24" s="16"/>
      <c r="Q24" s="16"/>
      <c r="R24" s="16"/>
      <c r="S24" s="23" t="s">
        <v>67</v>
      </c>
      <c r="T24" s="24" t="s">
        <v>133</v>
      </c>
      <c r="U24" s="16"/>
      <c r="V24" s="16">
        <v>115</v>
      </c>
      <c r="W24" s="16"/>
      <c r="X24" s="16"/>
      <c r="Y24" s="16"/>
      <c r="Z24" s="16">
        <v>950</v>
      </c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>
        <v>5</v>
      </c>
      <c r="AM24" s="16"/>
      <c r="AN24" s="16"/>
      <c r="AO24" s="16"/>
      <c r="AP24" s="16"/>
      <c r="AQ24" s="16"/>
    </row>
    <row r="25" spans="1:43" ht="34.5" x14ac:dyDescent="0.35">
      <c r="A25" s="22" t="s">
        <v>133</v>
      </c>
      <c r="B25" s="23" t="s">
        <v>23</v>
      </c>
      <c r="C25" s="23" t="s">
        <v>134</v>
      </c>
      <c r="D25" s="23" t="s">
        <v>135</v>
      </c>
      <c r="E25" s="23" t="s">
        <v>67</v>
      </c>
      <c r="F25" s="23" t="s">
        <v>66</v>
      </c>
      <c r="G25" s="23" t="s">
        <v>23</v>
      </c>
      <c r="H25" s="98" t="s">
        <v>26</v>
      </c>
      <c r="I25" s="98" t="s">
        <v>174</v>
      </c>
      <c r="J25" s="98" t="s">
        <v>26</v>
      </c>
      <c r="K25" s="23" t="s">
        <v>136</v>
      </c>
      <c r="L25" s="23" t="s">
        <v>137</v>
      </c>
      <c r="M25" s="16" t="s">
        <v>100</v>
      </c>
      <c r="N25" s="23" t="s">
        <v>29</v>
      </c>
      <c r="O25" s="23" t="s">
        <v>30</v>
      </c>
      <c r="P25" s="16"/>
      <c r="Q25" s="16"/>
      <c r="R25" s="16"/>
      <c r="S25" s="23" t="s">
        <v>67</v>
      </c>
      <c r="T25" s="24" t="s">
        <v>133</v>
      </c>
      <c r="U25" s="16"/>
      <c r="V25" s="16">
        <v>110</v>
      </c>
      <c r="W25" s="16"/>
      <c r="X25" s="16"/>
      <c r="Y25" s="16"/>
      <c r="Z25" s="16">
        <v>950</v>
      </c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>
        <v>5</v>
      </c>
      <c r="AM25" s="16"/>
      <c r="AN25" s="16"/>
      <c r="AO25" s="16"/>
      <c r="AP25" s="16"/>
      <c r="AQ25" s="16"/>
    </row>
    <row r="26" spans="1:43" ht="34.5" x14ac:dyDescent="0.35">
      <c r="A26" s="22" t="s">
        <v>133</v>
      </c>
      <c r="B26" s="23" t="s">
        <v>23</v>
      </c>
      <c r="C26" s="23" t="s">
        <v>134</v>
      </c>
      <c r="D26" s="23" t="s">
        <v>135</v>
      </c>
      <c r="E26" s="23" t="s">
        <v>67</v>
      </c>
      <c r="F26" s="23" t="s">
        <v>66</v>
      </c>
      <c r="G26" s="23" t="s">
        <v>23</v>
      </c>
      <c r="H26" s="98" t="s">
        <v>176</v>
      </c>
      <c r="I26" s="98" t="s">
        <v>177</v>
      </c>
      <c r="J26" s="98" t="s">
        <v>176</v>
      </c>
      <c r="K26" s="23" t="s">
        <v>136</v>
      </c>
      <c r="L26" s="23" t="s">
        <v>137</v>
      </c>
      <c r="M26" s="23" t="s">
        <v>70</v>
      </c>
      <c r="N26" s="23" t="s">
        <v>29</v>
      </c>
      <c r="O26" s="23" t="s">
        <v>30</v>
      </c>
      <c r="P26" s="16"/>
      <c r="Q26" s="16"/>
      <c r="R26" s="16"/>
      <c r="S26" s="23" t="s">
        <v>67</v>
      </c>
      <c r="T26" s="24" t="s">
        <v>133</v>
      </c>
      <c r="U26" s="16"/>
      <c r="V26" s="16">
        <v>1844</v>
      </c>
      <c r="W26" s="16"/>
      <c r="X26" s="16"/>
      <c r="Y26" s="16"/>
      <c r="Z26" s="16">
        <v>5400</v>
      </c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>
        <v>2</v>
      </c>
      <c r="AM26" s="16">
        <v>8</v>
      </c>
      <c r="AN26" s="16"/>
      <c r="AO26" s="16"/>
      <c r="AP26" s="16"/>
      <c r="AQ26" s="16"/>
    </row>
    <row r="27" spans="1:43" ht="34.5" x14ac:dyDescent="0.35">
      <c r="A27" s="22" t="s">
        <v>133</v>
      </c>
      <c r="B27" s="23" t="s">
        <v>23</v>
      </c>
      <c r="C27" s="23" t="s">
        <v>134</v>
      </c>
      <c r="D27" s="23" t="s">
        <v>135</v>
      </c>
      <c r="E27" s="23" t="s">
        <v>67</v>
      </c>
      <c r="F27" s="23" t="s">
        <v>66</v>
      </c>
      <c r="G27" s="23" t="s">
        <v>23</v>
      </c>
      <c r="H27" s="98" t="s">
        <v>178</v>
      </c>
      <c r="I27" s="98" t="s">
        <v>47</v>
      </c>
      <c r="J27" s="98" t="s">
        <v>178</v>
      </c>
      <c r="K27" s="23" t="s">
        <v>136</v>
      </c>
      <c r="L27" s="23" t="s">
        <v>137</v>
      </c>
      <c r="M27" s="2" t="s">
        <v>97</v>
      </c>
      <c r="N27" s="23" t="s">
        <v>29</v>
      </c>
      <c r="O27" s="23" t="s">
        <v>30</v>
      </c>
      <c r="P27" s="16"/>
      <c r="Q27" s="16"/>
      <c r="R27" s="16"/>
      <c r="S27" s="23" t="s">
        <v>67</v>
      </c>
      <c r="T27" s="24" t="s">
        <v>133</v>
      </c>
      <c r="U27" s="16"/>
      <c r="V27" s="16">
        <v>803.25</v>
      </c>
      <c r="W27" s="16"/>
      <c r="X27" s="16"/>
      <c r="Y27" s="16"/>
      <c r="Z27" s="16">
        <v>2200</v>
      </c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>
        <v>5</v>
      </c>
      <c r="AN27" s="16"/>
      <c r="AO27" s="16"/>
      <c r="AP27" s="16">
        <v>9</v>
      </c>
      <c r="AQ27" s="16"/>
    </row>
    <row r="28" spans="1:43" ht="53.4" customHeight="1" x14ac:dyDescent="0.35">
      <c r="A28" s="16"/>
      <c r="B28" s="23" t="s">
        <v>23</v>
      </c>
      <c r="C28" s="23" t="s">
        <v>134</v>
      </c>
      <c r="D28" s="23" t="s">
        <v>135</v>
      </c>
      <c r="E28" s="23" t="s">
        <v>67</v>
      </c>
      <c r="F28" s="23" t="s">
        <v>66</v>
      </c>
      <c r="G28" s="23" t="s">
        <v>23</v>
      </c>
      <c r="H28" s="16" t="s">
        <v>93</v>
      </c>
      <c r="I28" s="100" t="s">
        <v>179</v>
      </c>
      <c r="J28" s="100" t="s">
        <v>179</v>
      </c>
      <c r="K28" s="99" t="s">
        <v>136</v>
      </c>
      <c r="L28" s="23" t="s">
        <v>137</v>
      </c>
      <c r="M28" s="2" t="s">
        <v>97</v>
      </c>
      <c r="N28" s="23" t="s">
        <v>29</v>
      </c>
      <c r="O28" s="23" t="s">
        <v>30</v>
      </c>
      <c r="P28" s="16"/>
      <c r="Q28" s="16"/>
      <c r="R28" s="16"/>
      <c r="S28" s="23" t="s">
        <v>67</v>
      </c>
      <c r="T28" s="24" t="s">
        <v>133</v>
      </c>
      <c r="U28" s="16"/>
      <c r="V28" s="16">
        <v>965</v>
      </c>
      <c r="W28" s="16"/>
      <c r="X28" s="16"/>
      <c r="Y28" s="16"/>
      <c r="Z28" s="16">
        <v>2600</v>
      </c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>
        <v>1</v>
      </c>
      <c r="AN28" s="16"/>
      <c r="AO28" s="16"/>
      <c r="AP28" s="16"/>
      <c r="AQ28" s="16"/>
    </row>
    <row r="29" spans="1:43" ht="34.5" x14ac:dyDescent="0.35">
      <c r="A29" s="22" t="s">
        <v>133</v>
      </c>
      <c r="B29" s="23" t="s">
        <v>23</v>
      </c>
      <c r="C29" s="23" t="s">
        <v>134</v>
      </c>
      <c r="D29" s="23" t="s">
        <v>135</v>
      </c>
      <c r="E29" s="23" t="s">
        <v>67</v>
      </c>
      <c r="F29" s="23" t="s">
        <v>66</v>
      </c>
      <c r="G29" s="23" t="s">
        <v>23</v>
      </c>
      <c r="H29" s="98" t="s">
        <v>26</v>
      </c>
      <c r="I29" s="98" t="s">
        <v>174</v>
      </c>
      <c r="J29" s="98" t="s">
        <v>26</v>
      </c>
      <c r="K29" s="23" t="s">
        <v>136</v>
      </c>
      <c r="L29" s="23" t="s">
        <v>137</v>
      </c>
      <c r="M29" s="16" t="s">
        <v>97</v>
      </c>
      <c r="N29" s="23" t="s">
        <v>29</v>
      </c>
      <c r="O29" s="23" t="s">
        <v>30</v>
      </c>
      <c r="P29" s="16"/>
      <c r="Q29" s="16"/>
      <c r="R29" s="16"/>
      <c r="S29" s="23" t="s">
        <v>67</v>
      </c>
      <c r="T29" s="24" t="s">
        <v>133</v>
      </c>
      <c r="U29" s="16"/>
      <c r="V29" s="16">
        <v>225</v>
      </c>
      <c r="W29" s="16"/>
      <c r="X29" s="16"/>
      <c r="Y29" s="16"/>
      <c r="Z29" s="16">
        <v>1000</v>
      </c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>
        <v>7</v>
      </c>
      <c r="AO29" s="16"/>
      <c r="AP29" s="16"/>
      <c r="AQ29" s="16"/>
    </row>
    <row r="30" spans="1:43" s="19" customFormat="1" ht="34.5" x14ac:dyDescent="0.25">
      <c r="A30" s="22" t="s">
        <v>133</v>
      </c>
      <c r="B30" s="23" t="s">
        <v>23</v>
      </c>
      <c r="C30" s="23" t="s">
        <v>134</v>
      </c>
      <c r="D30" s="23" t="s">
        <v>135</v>
      </c>
      <c r="E30" s="23" t="s">
        <v>67</v>
      </c>
      <c r="F30" s="23" t="s">
        <v>66</v>
      </c>
      <c r="G30" s="23" t="s">
        <v>23</v>
      </c>
      <c r="H30" s="32" t="s">
        <v>93</v>
      </c>
      <c r="I30" s="32" t="s">
        <v>169</v>
      </c>
      <c r="J30" s="32" t="s">
        <v>169</v>
      </c>
      <c r="K30" s="23" t="s">
        <v>136</v>
      </c>
      <c r="L30" s="23" t="s">
        <v>137</v>
      </c>
      <c r="M30" s="23" t="s">
        <v>70</v>
      </c>
      <c r="N30" s="23" t="s">
        <v>29</v>
      </c>
      <c r="O30" s="23" t="s">
        <v>30</v>
      </c>
      <c r="P30" s="33"/>
      <c r="Q30" s="33"/>
      <c r="R30" s="33"/>
      <c r="S30" s="23" t="s">
        <v>67</v>
      </c>
      <c r="T30" s="24" t="s">
        <v>133</v>
      </c>
      <c r="U30" s="34"/>
      <c r="V30" s="34">
        <v>1450</v>
      </c>
      <c r="W30" s="34"/>
      <c r="X30" s="34"/>
      <c r="Y30" s="34"/>
      <c r="Z30" s="35">
        <v>2670</v>
      </c>
      <c r="AA30" s="36"/>
      <c r="AB30" s="37"/>
      <c r="AC30" s="31"/>
      <c r="AD30" s="31"/>
      <c r="AE30" s="30"/>
      <c r="AF30" s="31"/>
      <c r="AG30" s="31"/>
      <c r="AH30" s="38"/>
      <c r="AI30" s="38"/>
      <c r="AJ30" s="39"/>
      <c r="AK30" s="31"/>
      <c r="AL30" s="31"/>
      <c r="AM30" s="31"/>
      <c r="AN30" s="31">
        <v>4</v>
      </c>
      <c r="AO30" s="30"/>
      <c r="AP30" s="31"/>
      <c r="AQ30" s="31"/>
    </row>
    <row r="31" spans="1:43" s="19" customFormat="1" ht="34.5" x14ac:dyDescent="0.25">
      <c r="A31" s="22" t="s">
        <v>133</v>
      </c>
      <c r="B31" s="23" t="s">
        <v>23</v>
      </c>
      <c r="C31" s="23" t="s">
        <v>134</v>
      </c>
      <c r="D31" s="23" t="s">
        <v>135</v>
      </c>
      <c r="E31" s="23" t="s">
        <v>67</v>
      </c>
      <c r="F31" s="23" t="s">
        <v>66</v>
      </c>
      <c r="G31" s="23" t="s">
        <v>23</v>
      </c>
      <c r="H31" s="32" t="s">
        <v>93</v>
      </c>
      <c r="I31" s="32" t="s">
        <v>169</v>
      </c>
      <c r="J31" s="32" t="s">
        <v>169</v>
      </c>
      <c r="K31" s="23" t="s">
        <v>136</v>
      </c>
      <c r="L31" s="23" t="s">
        <v>137</v>
      </c>
      <c r="M31" s="23" t="s">
        <v>70</v>
      </c>
      <c r="N31" s="23" t="s">
        <v>29</v>
      </c>
      <c r="O31" s="23" t="s">
        <v>30</v>
      </c>
      <c r="P31" s="33"/>
      <c r="Q31" s="33"/>
      <c r="R31" s="33"/>
      <c r="S31" s="23" t="s">
        <v>67</v>
      </c>
      <c r="T31" s="24" t="s">
        <v>133</v>
      </c>
      <c r="U31" s="34"/>
      <c r="V31" s="34">
        <v>1100</v>
      </c>
      <c r="W31" s="34"/>
      <c r="X31" s="34"/>
      <c r="Y31" s="34"/>
      <c r="Z31" s="35">
        <v>2670</v>
      </c>
      <c r="AA31" s="36"/>
      <c r="AB31" s="37"/>
      <c r="AC31" s="31"/>
      <c r="AD31" s="31"/>
      <c r="AE31" s="30"/>
      <c r="AF31" s="31"/>
      <c r="AG31" s="31"/>
      <c r="AH31" s="38"/>
      <c r="AI31" s="38"/>
      <c r="AJ31" s="39"/>
      <c r="AK31" s="31"/>
      <c r="AL31" s="31"/>
      <c r="AM31" s="31"/>
      <c r="AN31" s="31"/>
      <c r="AO31" s="30">
        <v>11</v>
      </c>
      <c r="AP31" s="31"/>
      <c r="AQ31" s="31"/>
    </row>
    <row r="32" spans="1:43" ht="34.5" x14ac:dyDescent="0.35">
      <c r="A32" s="22" t="s">
        <v>133</v>
      </c>
      <c r="B32" s="23" t="s">
        <v>23</v>
      </c>
      <c r="C32" s="23" t="s">
        <v>134</v>
      </c>
      <c r="D32" s="23" t="s">
        <v>135</v>
      </c>
      <c r="E32" s="23" t="s">
        <v>67</v>
      </c>
      <c r="F32" s="23" t="s">
        <v>66</v>
      </c>
      <c r="G32" s="23" t="s">
        <v>23</v>
      </c>
      <c r="H32" s="98" t="s">
        <v>178</v>
      </c>
      <c r="I32" s="98" t="s">
        <v>47</v>
      </c>
      <c r="J32" s="98" t="s">
        <v>178</v>
      </c>
      <c r="K32" s="23" t="s">
        <v>136</v>
      </c>
      <c r="L32" s="23" t="s">
        <v>137</v>
      </c>
      <c r="M32" s="2" t="s">
        <v>97</v>
      </c>
      <c r="N32" s="23" t="s">
        <v>29</v>
      </c>
      <c r="O32" s="23" t="s">
        <v>30</v>
      </c>
      <c r="P32" s="16"/>
      <c r="Q32" s="16"/>
      <c r="R32" s="16"/>
      <c r="S32" s="23" t="s">
        <v>67</v>
      </c>
      <c r="T32" s="24" t="s">
        <v>133</v>
      </c>
      <c r="U32" s="16"/>
      <c r="V32" s="16">
        <v>675</v>
      </c>
      <c r="W32" s="16"/>
      <c r="X32" s="16"/>
      <c r="Y32" s="16"/>
      <c r="Z32" s="16">
        <v>2200</v>
      </c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>
        <v>20</v>
      </c>
      <c r="AP32" s="16"/>
      <c r="AQ32" s="16"/>
    </row>
    <row r="33" spans="1:43" ht="34.5" x14ac:dyDescent="0.35">
      <c r="A33" s="22" t="s">
        <v>133</v>
      </c>
      <c r="B33" s="23" t="s">
        <v>23</v>
      </c>
      <c r="C33" s="23" t="s">
        <v>134</v>
      </c>
      <c r="D33" s="23" t="s">
        <v>135</v>
      </c>
      <c r="E33" s="23" t="s">
        <v>67</v>
      </c>
      <c r="F33" s="23" t="s">
        <v>66</v>
      </c>
      <c r="G33" s="23" t="s">
        <v>23</v>
      </c>
      <c r="H33" s="38" t="s">
        <v>54</v>
      </c>
      <c r="I33" s="32" t="s">
        <v>170</v>
      </c>
      <c r="J33" s="38" t="s">
        <v>54</v>
      </c>
      <c r="K33" s="23" t="s">
        <v>136</v>
      </c>
      <c r="L33" s="23" t="s">
        <v>137</v>
      </c>
      <c r="M33" s="23" t="s">
        <v>70</v>
      </c>
      <c r="N33" s="23" t="s">
        <v>29</v>
      </c>
      <c r="O33" s="23" t="s">
        <v>30</v>
      </c>
      <c r="P33" s="16"/>
      <c r="Q33" s="16"/>
      <c r="R33" s="16"/>
      <c r="S33" s="23" t="s">
        <v>67</v>
      </c>
      <c r="T33" s="24" t="s">
        <v>133</v>
      </c>
      <c r="U33" s="16"/>
      <c r="V33" s="34">
        <v>60</v>
      </c>
      <c r="W33" s="16"/>
      <c r="X33" s="16"/>
      <c r="Y33" s="16"/>
      <c r="Z33" s="16">
        <v>2250</v>
      </c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>
        <v>6</v>
      </c>
      <c r="AP33" s="16">
        <v>6</v>
      </c>
      <c r="AQ33" s="16"/>
    </row>
    <row r="34" spans="1:43" ht="30" customHeight="1" x14ac:dyDescent="0.35">
      <c r="A34" s="22" t="s">
        <v>133</v>
      </c>
      <c r="B34" s="23" t="s">
        <v>23</v>
      </c>
      <c r="C34" s="23" t="s">
        <v>134</v>
      </c>
      <c r="D34" s="23" t="s">
        <v>135</v>
      </c>
      <c r="E34" s="23" t="s">
        <v>67</v>
      </c>
      <c r="F34" s="23" t="s">
        <v>66</v>
      </c>
      <c r="G34" s="23" t="s">
        <v>23</v>
      </c>
      <c r="H34" s="38" t="s">
        <v>78</v>
      </c>
      <c r="I34" s="32" t="s">
        <v>180</v>
      </c>
      <c r="J34" s="38" t="s">
        <v>180</v>
      </c>
      <c r="K34" s="23" t="s">
        <v>136</v>
      </c>
      <c r="L34" s="23" t="s">
        <v>137</v>
      </c>
      <c r="M34" s="23" t="s">
        <v>70</v>
      </c>
      <c r="N34" s="23" t="s">
        <v>29</v>
      </c>
      <c r="O34" s="23" t="s">
        <v>30</v>
      </c>
      <c r="P34" s="16"/>
      <c r="Q34" s="16"/>
      <c r="R34" s="16"/>
      <c r="S34" s="23" t="s">
        <v>67</v>
      </c>
      <c r="T34" s="24" t="s">
        <v>133</v>
      </c>
      <c r="U34" s="16"/>
      <c r="V34" s="34">
        <v>269.5</v>
      </c>
      <c r="W34" s="16"/>
      <c r="X34" s="16"/>
      <c r="Y34" s="16"/>
      <c r="Z34" s="16">
        <v>900</v>
      </c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>
        <v>45</v>
      </c>
      <c r="AQ34" s="16"/>
    </row>
    <row r="35" spans="1:43" s="19" customFormat="1" ht="34.5" x14ac:dyDescent="0.25">
      <c r="A35" s="22" t="s">
        <v>133</v>
      </c>
      <c r="B35" s="23" t="s">
        <v>23</v>
      </c>
      <c r="C35" s="23" t="s">
        <v>134</v>
      </c>
      <c r="D35" s="23" t="s">
        <v>135</v>
      </c>
      <c r="E35" s="23" t="s">
        <v>67</v>
      </c>
      <c r="F35" s="23" t="s">
        <v>66</v>
      </c>
      <c r="G35" s="23" t="s">
        <v>23</v>
      </c>
      <c r="H35" s="32" t="s">
        <v>93</v>
      </c>
      <c r="I35" s="32" t="s">
        <v>169</v>
      </c>
      <c r="J35" s="32" t="s">
        <v>169</v>
      </c>
      <c r="K35" s="23" t="s">
        <v>136</v>
      </c>
      <c r="L35" s="23" t="s">
        <v>137</v>
      </c>
      <c r="M35" s="23" t="s">
        <v>70</v>
      </c>
      <c r="N35" s="23" t="s">
        <v>29</v>
      </c>
      <c r="O35" s="23" t="s">
        <v>30</v>
      </c>
      <c r="P35" s="33"/>
      <c r="Q35" s="33"/>
      <c r="R35" s="33"/>
      <c r="S35" s="23" t="s">
        <v>67</v>
      </c>
      <c r="T35" s="24" t="s">
        <v>133</v>
      </c>
      <c r="U35" s="34"/>
      <c r="V35" s="34">
        <v>1200</v>
      </c>
      <c r="W35" s="34"/>
      <c r="X35" s="34"/>
      <c r="Y35" s="34"/>
      <c r="Z35" s="35">
        <v>2670</v>
      </c>
      <c r="AA35" s="36"/>
      <c r="AB35" s="37"/>
      <c r="AC35" s="31"/>
      <c r="AD35" s="31"/>
      <c r="AE35" s="30"/>
      <c r="AF35" s="31"/>
      <c r="AG35" s="31"/>
      <c r="AH35" s="38"/>
      <c r="AI35" s="38"/>
      <c r="AJ35" s="39"/>
      <c r="AK35" s="31"/>
      <c r="AL35" s="31"/>
      <c r="AM35" s="31"/>
      <c r="AN35" s="31"/>
      <c r="AO35" s="30"/>
      <c r="AP35" s="31">
        <v>5</v>
      </c>
      <c r="AQ35" s="31"/>
    </row>
  </sheetData>
  <autoFilter ref="A12:AQ35" xr:uid="{FD876D6E-0852-4B83-9C27-0B3889EF2C54}"/>
  <mergeCells count="86">
    <mergeCell ref="AQ3:AQ4"/>
    <mergeCell ref="AQ12:AQ13"/>
    <mergeCell ref="AP12:AP13"/>
    <mergeCell ref="AE12:AE13"/>
    <mergeCell ref="AF12:AF13"/>
    <mergeCell ref="AG12:AG13"/>
    <mergeCell ref="AH12:AH13"/>
    <mergeCell ref="AI12:AI13"/>
    <mergeCell ref="AJ12:AJ13"/>
    <mergeCell ref="AO3:AO4"/>
    <mergeCell ref="AP3:AP4"/>
    <mergeCell ref="AL3:AL4"/>
    <mergeCell ref="AM3:AM4"/>
    <mergeCell ref="AN3:AN4"/>
    <mergeCell ref="AK12:AK13"/>
    <mergeCell ref="AL12:AL13"/>
    <mergeCell ref="AM12:AM13"/>
    <mergeCell ref="AN12:AN13"/>
    <mergeCell ref="AO12:AO13"/>
    <mergeCell ref="AD12:AD13"/>
    <mergeCell ref="T12:T13"/>
    <mergeCell ref="U12:U13"/>
    <mergeCell ref="V12:V13"/>
    <mergeCell ref="W12:W13"/>
    <mergeCell ref="X12:X13"/>
    <mergeCell ref="Y12:Y13"/>
    <mergeCell ref="Z12:Z13"/>
    <mergeCell ref="AA12:AA13"/>
    <mergeCell ref="AB12:AB13"/>
    <mergeCell ref="AC12:AC13"/>
    <mergeCell ref="S12:S13"/>
    <mergeCell ref="H12:H13"/>
    <mergeCell ref="I12:I13"/>
    <mergeCell ref="J12:J13"/>
    <mergeCell ref="K12:K13"/>
    <mergeCell ref="L12:L13"/>
    <mergeCell ref="M12:M13"/>
    <mergeCell ref="N12:N13"/>
    <mergeCell ref="O12:O13"/>
    <mergeCell ref="P12:P13"/>
    <mergeCell ref="Q12:Q13"/>
    <mergeCell ref="R12:R13"/>
    <mergeCell ref="A12:A13"/>
    <mergeCell ref="B12:B13"/>
    <mergeCell ref="C12:C13"/>
    <mergeCell ref="D12:D13"/>
    <mergeCell ref="E12:E13"/>
    <mergeCell ref="F12:F13"/>
    <mergeCell ref="G12:G13"/>
    <mergeCell ref="AI3:AI4"/>
    <mergeCell ref="AJ3:AJ4"/>
    <mergeCell ref="AK3:AK4"/>
    <mergeCell ref="AC3:AC4"/>
    <mergeCell ref="AD3:AD4"/>
    <mergeCell ref="AE3:AE4"/>
    <mergeCell ref="AF3:AF4"/>
    <mergeCell ref="AG3:AG4"/>
    <mergeCell ref="AH3:AH4"/>
    <mergeCell ref="W3:W4"/>
    <mergeCell ref="X3:X4"/>
    <mergeCell ref="Y3:Y4"/>
    <mergeCell ref="Z3:Z4"/>
    <mergeCell ref="AA3:AA4"/>
    <mergeCell ref="AB3:AB4"/>
    <mergeCell ref="R3:R4"/>
    <mergeCell ref="S3:S4"/>
    <mergeCell ref="T3:T4"/>
    <mergeCell ref="U3:U4"/>
    <mergeCell ref="V3:V4"/>
    <mergeCell ref="Q3:Q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A3:A4"/>
    <mergeCell ref="B3:B4"/>
    <mergeCell ref="C3:C4"/>
    <mergeCell ref="D3:D4"/>
    <mergeCell ref="E3:E4"/>
  </mergeCells>
  <phoneticPr fontId="2" type="noConversion"/>
  <conditionalFormatting sqref="U5">
    <cfRule type="expression" dxfId="32" priority="67">
      <formula>AND(VLOOKUP($P5,MISSING,2,0)=1,ISBLANK(U5),$AD5="Missing Bids")</formula>
    </cfRule>
  </conditionalFormatting>
  <conditionalFormatting sqref="U14:U15">
    <cfRule type="expression" dxfId="31" priority="31">
      <formula>AND(VLOOKUP($P14,MISSING,3,0)=1,ISBLANK(U14),$AD14="Missing Bids")</formula>
    </cfRule>
  </conditionalFormatting>
  <conditionalFormatting sqref="U30:U31">
    <cfRule type="expression" dxfId="30" priority="14">
      <formula>AND(VLOOKUP($P30,MISSING,3,0)=1,ISBLANK(U30),$AD30="Missing Bids")</formula>
    </cfRule>
  </conditionalFormatting>
  <conditionalFormatting sqref="U35">
    <cfRule type="expression" dxfId="29" priority="5">
      <formula>AND(VLOOKUP($P35,MISSING,3,0)=1,ISBLANK(U35),$AD35="Missing Bids")</formula>
    </cfRule>
  </conditionalFormatting>
  <conditionalFormatting sqref="V5">
    <cfRule type="expression" dxfId="28" priority="70">
      <formula>AND(VLOOKUP($P5,MISSING,3,0)=1,ISBLANK(V5),$AD5="Missing Bids")</formula>
    </cfRule>
  </conditionalFormatting>
  <conditionalFormatting sqref="V14:V20">
    <cfRule type="expression" dxfId="27" priority="32">
      <formula>AND(VLOOKUP($P14,MISSING,4,0)=1,ISBLANK(V14),$AD14="Missing Bids")</formula>
    </cfRule>
  </conditionalFormatting>
  <conditionalFormatting sqref="V30:V31">
    <cfRule type="expression" dxfId="26" priority="15">
      <formula>AND(VLOOKUP($P30,MISSING,4,0)=1,ISBLANK(V30),$AD30="Missing Bids")</formula>
    </cfRule>
  </conditionalFormatting>
  <conditionalFormatting sqref="V33:V35">
    <cfRule type="expression" dxfId="25" priority="6">
      <formula>AND(VLOOKUP($P33,MISSING,4,0)=1,ISBLANK(V33),$AD33="Missing Bids")</formula>
    </cfRule>
  </conditionalFormatting>
  <conditionalFormatting sqref="W5">
    <cfRule type="expression" dxfId="24" priority="74">
      <formula>AND(VLOOKUP($P5,MISSING,4,0)=1,ISBLANK(W5),$AD5="Missing Bids")</formula>
    </cfRule>
  </conditionalFormatting>
  <conditionalFormatting sqref="W14:W15">
    <cfRule type="expression" dxfId="23" priority="33">
      <formula>AND(VLOOKUP($P14,MISSING,5,0)=1,ISBLANK(W14),$AD14="Missing Bids")</formula>
    </cfRule>
  </conditionalFormatting>
  <conditionalFormatting sqref="W30:W31">
    <cfRule type="expression" dxfId="22" priority="16">
      <formula>AND(VLOOKUP($P30,MISSING,5,0)=1,ISBLANK(W30),$AD30="Missing Bids")</formula>
    </cfRule>
  </conditionalFormatting>
  <conditionalFormatting sqref="W35">
    <cfRule type="expression" dxfId="21" priority="7">
      <formula>AND(VLOOKUP($P35,MISSING,5,0)=1,ISBLANK(W35),$AD35="Missing Bids")</formula>
    </cfRule>
  </conditionalFormatting>
  <conditionalFormatting sqref="X5">
    <cfRule type="expression" dxfId="20" priority="78">
      <formula>AND(VLOOKUP($P5,MISSING,5,0)=1,ISBLANK(X5),$AD5="Missing Bids")</formula>
    </cfRule>
  </conditionalFormatting>
  <conditionalFormatting sqref="X14:X15">
    <cfRule type="expression" dxfId="19" priority="34">
      <formula>AND(VLOOKUP($P14,MISSING,6,0)=1,ISBLANK(X14),$AD14="Missing Bids")</formula>
    </cfRule>
  </conditionalFormatting>
  <conditionalFormatting sqref="X30:X31">
    <cfRule type="expression" dxfId="18" priority="17">
      <formula>AND(VLOOKUP($P30,MISSING,6,0)=1,ISBLANK(X30),$AD30="Missing Bids")</formula>
    </cfRule>
  </conditionalFormatting>
  <conditionalFormatting sqref="X35">
    <cfRule type="expression" dxfId="17" priority="8">
      <formula>AND(VLOOKUP($P35,MISSING,6,0)=1,ISBLANK(X35),$AD35="Missing Bids")</formula>
    </cfRule>
  </conditionalFormatting>
  <conditionalFormatting sqref="Y5">
    <cfRule type="expression" dxfId="16" priority="82">
      <formula>AND(VLOOKUP($P5,MISSING,6,0)=1,ISBLANK(Y5),$AD5="Missing Bids")</formula>
    </cfRule>
  </conditionalFormatting>
  <conditionalFormatting sqref="Z14:Z15">
    <cfRule type="cellIs" dxfId="15" priority="27" operator="equal">
      <formula>"Missing Bids"</formula>
    </cfRule>
    <cfRule type="cellIs" dxfId="14" priority="28" operator="equal">
      <formula>"No Bids"</formula>
    </cfRule>
    <cfRule type="cellIs" dxfId="13" priority="26" operator="equal">
      <formula>"Complete"</formula>
    </cfRule>
  </conditionalFormatting>
  <conditionalFormatting sqref="Z30:Z31">
    <cfRule type="cellIs" dxfId="12" priority="12" operator="equal">
      <formula>"No Bids"</formula>
    </cfRule>
    <cfRule type="cellIs" dxfId="11" priority="11" operator="equal">
      <formula>"Missing Bids"</formula>
    </cfRule>
    <cfRule type="cellIs" dxfId="10" priority="10" operator="equal">
      <formula>"Complete"</formula>
    </cfRule>
  </conditionalFormatting>
  <conditionalFormatting sqref="Z35">
    <cfRule type="cellIs" dxfId="9" priority="3" operator="equal">
      <formula>"No Bids"</formula>
    </cfRule>
    <cfRule type="cellIs" dxfId="8" priority="2" operator="equal">
      <formula>"Missing Bids"</formula>
    </cfRule>
    <cfRule type="cellIs" dxfId="7" priority="1" operator="equal">
      <formula>"Complete"</formula>
    </cfRule>
  </conditionalFormatting>
  <conditionalFormatting sqref="AA5">
    <cfRule type="cellIs" dxfId="6" priority="58" operator="equal">
      <formula>"Complete"</formula>
    </cfRule>
    <cfRule type="cellIs" dxfId="5" priority="59" operator="equal">
      <formula>"Missing Bids"</formula>
    </cfRule>
    <cfRule type="cellIs" dxfId="4" priority="60" operator="equal">
      <formula>"No Bids"</formula>
    </cfRule>
  </conditionalFormatting>
  <conditionalFormatting sqref="AB14:AB15">
    <cfRule type="notContainsBlanks" dxfId="3" priority="29">
      <formula>LEN(TRIM(AB14))&gt;0</formula>
    </cfRule>
  </conditionalFormatting>
  <conditionalFormatting sqref="AB30:AB31">
    <cfRule type="notContainsBlanks" dxfId="2" priority="13">
      <formula>LEN(TRIM(AB30))&gt;0</formula>
    </cfRule>
  </conditionalFormatting>
  <conditionalFormatting sqref="AB35">
    <cfRule type="notContainsBlanks" dxfId="1" priority="4">
      <formula>LEN(TRIM(AB35))&gt;0</formula>
    </cfRule>
  </conditionalFormatting>
  <conditionalFormatting sqref="AC5">
    <cfRule type="notContainsBlanks" dxfId="0" priority="66">
      <formula>LEN(TRIM(AC5))&gt;0</formula>
    </cfRule>
  </conditionalFormatting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B93EF48A06C44CB791E05139552A11" ma:contentTypeVersion="15" ma:contentTypeDescription="Create a new document." ma:contentTypeScope="" ma:versionID="010bc745a6e245e9a1e280073236f2a2">
  <xsd:schema xmlns:xsd="http://www.w3.org/2001/XMLSchema" xmlns:xs="http://www.w3.org/2001/XMLSchema" xmlns:p="http://schemas.microsoft.com/office/2006/metadata/properties" xmlns:ns2="ba58f016-325a-47fd-87d2-fca49eb341a2" xmlns:ns3="30dd9b6d-ee12-4057-bf32-66afe96d3cfe" targetNamespace="http://schemas.microsoft.com/office/2006/metadata/properties" ma:root="true" ma:fieldsID="4296cb6d79b13617ec2a76761749b951" ns2:_="" ns3:_="">
    <xsd:import namespace="ba58f016-325a-47fd-87d2-fca49eb341a2"/>
    <xsd:import namespace="30dd9b6d-ee12-4057-bf32-66afe96d3c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58f016-325a-47fd-87d2-fca49eb341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5c89b78-42da-4750-8089-7248a17ae5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dd9b6d-ee12-4057-bf32-66afe96d3cfe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2f4e4078-1a03-4290-8da5-fb86edcd1941}" ma:internalName="TaxCatchAll" ma:showField="CatchAllData" ma:web="30dd9b6d-ee12-4057-bf32-66afe96d3c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0dd9b6d-ee12-4057-bf32-66afe96d3cfe" xsi:nil="true"/>
    <lcf76f155ced4ddcb4097134ff3c332f xmlns="ba58f016-325a-47fd-87d2-fca49eb341a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6E7442-9418-4A00-8F61-9272F1D7C4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58f016-325a-47fd-87d2-fca49eb341a2"/>
    <ds:schemaRef ds:uri="30dd9b6d-ee12-4057-bf32-66afe96d3c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1F91F5A-F751-412C-9AEB-522446E5BF7B}">
  <ds:schemaRefs>
    <ds:schemaRef ds:uri="http://schemas.microsoft.com/office/2006/metadata/properties"/>
    <ds:schemaRef ds:uri="http://schemas.microsoft.com/office/infopath/2007/PartnerControls"/>
    <ds:schemaRef ds:uri="30dd9b6d-ee12-4057-bf32-66afe96d3cfe"/>
    <ds:schemaRef ds:uri="ba58f016-325a-47fd-87d2-fca49eb341a2"/>
  </ds:schemaRefs>
</ds:datastoreItem>
</file>

<file path=customXml/itemProps3.xml><?xml version="1.0" encoding="utf-8"?>
<ds:datastoreItem xmlns:ds="http://schemas.openxmlformats.org/officeDocument/2006/customXml" ds:itemID="{8CDD84D1-46A0-4240-8965-D7ADB6975B6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Awarded </vt:lpstr>
      <vt:lpstr>Spot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Shirley Ng</dc:creator>
  <cp:lastModifiedBy>Jutikran - E-WAY THAI</cp:lastModifiedBy>
  <dcterms:created xsi:type="dcterms:W3CDTF">2025-07-01T04:11:46Z</dcterms:created>
  <dcterms:modified xsi:type="dcterms:W3CDTF">2026-07-02T03:26:29Z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0x010100E3B93EF48A06C44CB791E05139552A11</vt:lpwstr>
  </property>
  <property fmtid="{D5CDD505-2E9C-101B-9397-08002B2CF9AE}" pid="3" name="MediaServiceImageTags">
    <vt:lpwstr/>
  </property>
</Properties>
</file>